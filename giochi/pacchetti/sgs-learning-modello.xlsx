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truzioni" sheetId="1" state="visible" r:id="rId3"/>
    <sheet name="Modulo" sheetId="2" state="visible" r:id="rId4"/>
    <sheet name="Tappe" sheetId="3" state="visible" r:id="rId5"/>
    <sheet name="Punti" sheetId="4" state="visible" r:id="rId6"/>
    <sheet name="Pannelli" sheetId="5" state="visible" r:id="rId7"/>
    <sheet name="Laboratori" sheetId="6" state="visible" r:id="rId8"/>
    <sheet name="Voci" sheetId="7" state="visible" r:id="rId9"/>
    <sheet name="Quiz" sheetId="8" state="visible" r:id="rId10"/>
    <sheet name="Sopralluogo" sheetId="9" state="visible" r:id="rId11"/>
    <sheet name="Esame" sheetId="10" state="visible" r:id="rId12"/>
    <sheet name="Referenti" sheetId="11" state="visible" r:id="rId13"/>
    <sheet name="Sigle" sheetId="12" state="visible" r:id="rId14"/>
    <sheet name="Elenchi" sheetId="13" state="hidden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Codice della posizione in stazione (vedi Istruzioni). Ogni tappa in una posizione diversa.</t>
        </r>
      </text>
    </comment>
    <comment ref="F1" authorId="0">
      <text>
        <r>
          <rPr>
            <sz val="10"/>
            <rFont val="Arial"/>
            <family val="2"/>
          </rPr>
          <t xml:space="preserve">ID dal foglio Referenti</t>
        </r>
      </text>
    </comment>
    <comment ref="L1" authorId="0">
      <text>
        <r>
          <rPr>
            <sz val="10"/>
            <rFont val="Arial"/>
            <family val="2"/>
          </rPr>
          <t xml:space="preserve">Cosa dice il referente prima del laboratorio. Fino a tre battute.</t>
        </r>
      </text>
    </comment>
    <comment ref="O1" authorId="0">
      <text>
        <r>
          <rPr>
            <sz val="10"/>
            <rFont val="Arial"/>
            <family val="2"/>
          </rPr>
          <t xml:space="preserve">Facoltativa: punti delle fonti da precisare.</t>
        </r>
      </text>
    </comment>
    <comment ref="P1" authorId="0">
      <text>
        <r>
          <rPr>
            <sz val="10"/>
            <rFont val="Arial"/>
            <family val="2"/>
          </rPr>
          <t xml:space="preserve">Calcolato: punti, quiz, domande d'esame per tappa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Solo per il modello «confronto» (colonna destra).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Solo per «abbina»: opzioni separate da «|».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ordina: posizione (1, 2, 3…) · abbina: testo esatto dell'opzione · scelta: Sì oppure No</t>
        </r>
      </text>
    </comment>
    <comment ref="E1" authorId="0">
      <text>
        <r>
          <rPr>
            <sz val="10"/>
            <rFont val="Arial"/>
            <family val="2"/>
          </rPr>
          <t xml:space="preserve">Solo per «scelta»: mostrata se l'allievo seleziona una voce errata.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Dal catalogo (vedi Istruzioni).</t>
        </r>
      </text>
    </comment>
    <comment ref="C1" authorId="0">
      <text>
        <r>
          <rPr>
            <sz val="10"/>
            <rFont val="Arial"/>
            <family val="2"/>
          </rPr>
          <t xml:space="preserve">Testo del suggerimento a schermo, es. «Esamina il segnale».</t>
        </r>
      </text>
    </comment>
    <comment ref="F1" authorId="0">
      <text>
        <r>
          <rPr>
            <sz val="10"/>
            <rFont val="Arial"/>
            <family val="2"/>
          </rPr>
          <t xml:space="preserve">Separate da «|».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Solo ruoli, nessun nominativo.</t>
        </r>
      </text>
    </comment>
    <comment ref="D1" authorId="0">
      <text>
        <r>
          <rPr>
            <sz val="10"/>
            <rFont val="Arial"/>
            <family val="2"/>
          </rPr>
          <t xml:space="preserve">Massimo 4 caratteri, compare nel distintivo del dialogo.</t>
        </r>
      </text>
    </comment>
    <comment ref="N1" authorId="0">
      <text>
        <r>
          <rPr>
            <sz val="10"/>
            <rFont val="Arial"/>
            <family val="2"/>
          </rPr>
          <t xml:space="preserve">Facoltativa: una domanda in più nel dialogo, con la sua risposta.</t>
        </r>
      </text>
    </comment>
  </commentList>
</comments>
</file>

<file path=xl/sharedStrings.xml><?xml version="1.0" encoding="utf-8"?>
<sst xmlns="http://schemas.openxmlformats.org/spreadsheetml/2006/main" count="511" uniqueCount="348">
  <si>
    <t xml:space="preserve">SGS Learning · pacchetto contenuti</t>
  </si>
  <si>
    <t xml:space="preserve">Modulo di esempio · Titolo completo del modulo</t>
  </si>
  <si>
    <t xml:space="preserve">Come si usa</t>
  </si>
  <si>
    <t xml:space="preserve">1. Compila o correggi</t>
  </si>
  <si>
    <t xml:space="preserve">I fogli Modulo, Tappe, Punti, Pannelli, Laboratori, Voci, Quiz, Sopralluogo, Esame, Referenti e Sigle. Le intestazioni blu non vanno modificate; l'ordine delle colonne sì, se serve.</t>
  </si>
  <si>
    <t xml:space="preserve">2. Revisiona</t>
  </si>
  <si>
    <t xml:space="preserve">Nelle colonne grigie «Revisione» scegli Approvato, Da correggere o Da verificare e scrivi le osservazioni in «Note revisore». Il gioco ignora queste colonne.</t>
  </si>
  <si>
    <t xml:space="preserve">3. Approva</t>
  </si>
  <si>
    <t xml:space="preserve">Nel foglio Modulo porta «Stato» su Approvato e indica chi approva. Finché resta Bozza il gioco mostra la dicitura BOZZA.</t>
  </si>
  <si>
    <t xml:space="preserve">4. Carica</t>
  </si>
  <si>
    <t xml:space="preserve">Nel gioco: schermata iniziale › «Carica modulo» › scegli questo file .xlsx. Se ci sono errori il gioco li elenca con foglio e riga.</t>
  </si>
  <si>
    <t xml:space="preserve">Regole principali</t>
  </si>
  <si>
    <t xml:space="preserve">Tappe</t>
  </si>
  <si>
    <t xml:space="preserve">Da 1 a 12. Ogni tappa occupa una posizione diversa della stazione (foglio Elenchi, colonna Posizione). Numero tappa: 1, 2, 3… senza salti.</t>
  </si>
  <si>
    <t xml:space="preserve">Quiz</t>
  </si>
  <si>
    <t xml:space="preserve">Almeno 1 per tappa, consigliati 2. Da 2 a 4 risposte: una corretta e fino a tre errate.</t>
  </si>
  <si>
    <t xml:space="preserve">Esame</t>
  </si>
  <si>
    <t xml:space="preserve">Almeno tante domande quante indicate in «Domande esame»; meglio 2–3 per tappa, così ogni prova è diversa. Quattro risposte per domanda.</t>
  </si>
  <si>
    <t xml:space="preserve">Laboratori</t>
  </si>
  <si>
    <t xml:space="preserve">Da 0 a 3 per tappa. Voci: «ordina» 3–6, «abbina» 2–8 con 2–6 opzioni, «scelta» 3–8.</t>
  </si>
  <si>
    <t xml:space="preserve">Sopralluogo</t>
  </si>
  <si>
    <t xml:space="preserve">Per le tappe di tipo «sopralluogo»: 1–6 oggetti del catalogo. Gli oggetti in cantiere o galleria richiedono gilet e casco (armadietto in aula) e l'apertura del cancello da parte del referente.</t>
  </si>
  <si>
    <t xml:space="preserve">Grafica del pannello</t>
  </si>
  <si>
    <t xml:space="preserve">«dedicata» usa le infografiche disegnate apposta per il Modulo 1 (codici M1-01…M1-12; i testi del foglio Pannelli vengono ignorati). «modello» costruisce il pannello dal foglio Pannelli con il modello scelto.</t>
  </si>
  <si>
    <t xml:space="preserve">Referenti</t>
  </si>
  <si>
    <t xml:space="preserve">Indicati solo per ruolo. Nessun nominativo reale. Il referente guida accoglie l'allievo; l'esaminatore sta in aula e conduce l'esame.</t>
  </si>
  <si>
    <t xml:space="preserve">Testi</t>
  </si>
  <si>
    <t xml:space="preserve">Nei testi dei dialoghi si possono evidenziare parole con &lt;em&gt;parola&lt;/em&gt;.</t>
  </si>
  <si>
    <t xml:space="preserve">Valori ammessi</t>
  </si>
  <si>
    <t xml:space="preserve">Posizione della tappa</t>
  </si>
  <si>
    <t xml:space="preserve">Codice</t>
  </si>
  <si>
    <t xml:space="preserve">Dove si trova</t>
  </si>
  <si>
    <t xml:space="preserve">A1</t>
  </si>
  <si>
    <t xml:space="preserve">Atrio · totem 1</t>
  </si>
  <si>
    <t xml:space="preserve">A2</t>
  </si>
  <si>
    <t xml:space="preserve">Atrio · totem 2</t>
  </si>
  <si>
    <t xml:space="preserve">A3</t>
  </si>
  <si>
    <t xml:space="preserve">Atrio · totem 3</t>
  </si>
  <si>
    <t xml:space="preserve">A4</t>
  </si>
  <si>
    <t xml:space="preserve">Atrio · totem 4 (verso le scale)</t>
  </si>
  <si>
    <t xml:space="preserve">A5</t>
  </si>
  <si>
    <t xml:space="preserve">Atrio · totem 5 (verso le scale)</t>
  </si>
  <si>
    <t xml:space="preserve">W1</t>
  </si>
  <si>
    <t xml:space="preserve">Aula · parete sinistra</t>
  </si>
  <si>
    <t xml:space="preserve">W2</t>
  </si>
  <si>
    <t xml:space="preserve">Aula · parete destra</t>
  </si>
  <si>
    <t xml:space="preserve">P1</t>
  </si>
  <si>
    <t xml:space="preserve">Banchina · totem 1</t>
  </si>
  <si>
    <t xml:space="preserve">P2</t>
  </si>
  <si>
    <t xml:space="preserve">Banchina · totem 2</t>
  </si>
  <si>
    <t xml:space="preserve">P3</t>
  </si>
  <si>
    <t xml:space="preserve">Banchina · totem 3</t>
  </si>
  <si>
    <t xml:space="preserve">P4</t>
  </si>
  <si>
    <t xml:space="preserve">Banchina · totem 4</t>
  </si>
  <si>
    <t xml:space="preserve">P5</t>
  </si>
  <si>
    <t xml:space="preserve">Banchina · totem 5, al cancello del cantiere</t>
  </si>
  <si>
    <t xml:space="preserve">Modello del pannello</t>
  </si>
  <si>
    <t xml:space="preserve">Modello</t>
  </si>
  <si>
    <t xml:space="preserve">Uso</t>
  </si>
  <si>
    <t xml:space="preserve">sequenza</t>
  </si>
  <si>
    <t xml:space="preserve">2–6 riquadri collegati da frecce (fasi, evoluzione nel tempo)</t>
  </si>
  <si>
    <t xml:space="preserve">colonne</t>
  </si>
  <si>
    <t xml:space="preserve">2–4 colonne affiancate con titolo e testo</t>
  </si>
  <si>
    <t xml:space="preserve">ciclo</t>
  </si>
  <si>
    <t xml:space="preserve">3–6 fasi in cerchio; la «Nota sul pannello» va al centro</t>
  </si>
  <si>
    <t xml:space="preserve">confronto</t>
  </si>
  <si>
    <t xml:space="preserve">Tabella a due colonne: la prima riga contiene le intestazioni in Testo e Testo 2, le altre etichetta, sinistra, destra</t>
  </si>
  <si>
    <t xml:space="preserve">elenco</t>
  </si>
  <si>
    <t xml:space="preserve">2–6 riquadri in griglia</t>
  </si>
  <si>
    <t xml:space="preserve">anelli</t>
  </si>
  <si>
    <t xml:space="preserve">3–6 cerchi concentrici dall'esterno al centro</t>
  </si>
  <si>
    <t xml:space="preserve">scheda</t>
  </si>
  <si>
    <t xml:space="preserve">Scheda di ruolo: 1ª riga riquadro (es. Mission), righe intermedie voci con spunta, ultima riga fascia colorata</t>
  </si>
  <si>
    <t xml:space="preserve">Tipo di laboratorio</t>
  </si>
  <si>
    <t xml:space="preserve">Tipo</t>
  </si>
  <si>
    <t xml:space="preserve">Come si compila</t>
  </si>
  <si>
    <t xml:space="preserve">ordina</t>
  </si>
  <si>
    <t xml:space="preserve">Mettere le voci in sequenza. Risposta = posizione corretta (1, 2, 3…)</t>
  </si>
  <si>
    <t xml:space="preserve">abbina</t>
  </si>
  <si>
    <t xml:space="preserve">Associare ogni voce a un'opzione. Opzioni nel foglio Laboratori separate da «|»; Risposta = testo esatto dell'opzione</t>
  </si>
  <si>
    <t xml:space="preserve">scelta</t>
  </si>
  <si>
    <t xml:space="preserve">Scelta multipla: selezionare tutte e sole le voci giuste. Risposta = Sì oppure No; Spiegazione mostrata per le voci errate</t>
  </si>
  <si>
    <t xml:space="preserve">Oggetti per il sopralluogo</t>
  </si>
  <si>
    <t xml:space="preserve">Oggetto</t>
  </si>
  <si>
    <t xml:space="preserve">Dove</t>
  </si>
  <si>
    <t xml:space="preserve">Serve DPI</t>
  </si>
  <si>
    <t xml:space="preserve">rotaie</t>
  </si>
  <si>
    <t xml:space="preserve">Cantiere binario 1 · rotaie di scorta</t>
  </si>
  <si>
    <t xml:space="preserve">sì</t>
  </si>
  <si>
    <t xml:space="preserve">segnale</t>
  </si>
  <si>
    <t xml:space="preserve">Imbocco galleria · segnale luminoso</t>
  </si>
  <si>
    <t xml:space="preserve">sse</t>
  </si>
  <si>
    <t xml:space="preserve">Galleria · porta della sottostazione elettrica</t>
  </si>
  <si>
    <t xml:space="preserve">fessurimetro</t>
  </si>
  <si>
    <t xml:space="preserve">Galleria · fessurimetro sul piedritto</t>
  </si>
  <si>
    <t xml:space="preserve">estintore</t>
  </si>
  <si>
    <t xml:space="preserve">Banchina · estintore sul pilastro</t>
  </si>
  <si>
    <t xml:space="preserve">no</t>
  </si>
  <si>
    <t xml:space="preserve">dae</t>
  </si>
  <si>
    <t xml:space="preserve">Atrio · defibrillatore DAE</t>
  </si>
  <si>
    <t xml:space="preserve">sos</t>
  </si>
  <si>
    <t xml:space="preserve">Banchina · colonnina SOS</t>
  </si>
  <si>
    <t xml:space="preserve">tornelli</t>
  </si>
  <si>
    <t xml:space="preserve">Atrio · tornelli</t>
  </si>
  <si>
    <t xml:space="preserve">lineagialla</t>
  </si>
  <si>
    <t xml:space="preserve">Banchina · linea gialla e bordo banchina</t>
  </si>
  <si>
    <t xml:space="preserve">display</t>
  </si>
  <si>
    <t xml:space="preserve">Banchina · display «prossimo treno»</t>
  </si>
  <si>
    <t xml:space="preserve">Divise dei referenti</t>
  </si>
  <si>
    <t xml:space="preserve">Divisa</t>
  </si>
  <si>
    <t xml:space="preserve">Descrizione</t>
  </si>
  <si>
    <t xml:space="preserve">polo blu</t>
  </si>
  <si>
    <t xml:space="preserve">Polo a maniche corte</t>
  </si>
  <si>
    <t xml:space="preserve">camicia bianca</t>
  </si>
  <si>
    <t xml:space="preserve">Camicia a maniche lunghe</t>
  </si>
  <si>
    <t xml:space="preserve">completo scuro</t>
  </si>
  <si>
    <t xml:space="preserve">Giacca e pantaloni scuri</t>
  </si>
  <si>
    <t xml:space="preserve">giacca grigia</t>
  </si>
  <si>
    <t xml:space="preserve">Giacca grigia</t>
  </si>
  <si>
    <t xml:space="preserve">maglia verde petrolio</t>
  </si>
  <si>
    <t xml:space="preserve">Maglia a maniche lunghe</t>
  </si>
  <si>
    <t xml:space="preserve">maglia bordeaux</t>
  </si>
  <si>
    <t xml:space="preserve">divisa condotta</t>
  </si>
  <si>
    <t xml:space="preserve">Divisa del personale di condotta</t>
  </si>
  <si>
    <t xml:space="preserve">divisa stazione</t>
  </si>
  <si>
    <t xml:space="preserve">Divisa del personale di stazione</t>
  </si>
  <si>
    <t xml:space="preserve">lavoro arancio</t>
  </si>
  <si>
    <t xml:space="preserve">Abbigliamento da officina con bande</t>
  </si>
  <si>
    <t xml:space="preserve">alta visibilità</t>
  </si>
  <si>
    <t xml:space="preserve">Giubbotto ad alta visibilità</t>
  </si>
  <si>
    <t xml:space="preserve">Capelli: corti, rasati, ricci, lunghi, caschetto, chignon, coda, calvo · Colore capelli: nero, castano, biondo, grigio, rosso · Colore distintivo: verde acqua, verde, blu, azzurro, arancio, ambra, viola, grigio, rosso · Posa: in piedi, legge, telefono · Carnagione: da 1 (chiara) a 6 (scura)</t>
  </si>
  <si>
    <t xml:space="preserve">Campo</t>
  </si>
  <si>
    <t xml:space="preserve">Valore</t>
  </si>
  <si>
    <t xml:space="preserve">Note</t>
  </si>
  <si>
    <t xml:space="preserve">ID modulo</t>
  </si>
  <si>
    <t xml:space="preserve">ESEMPIO</t>
  </si>
  <si>
    <t xml:space="preserve">Codice breve, senza spazi (es. M1). Serve a tenere separati i risultati dei diversi moduli.</t>
  </si>
  <si>
    <t xml:space="preserve">Titolo</t>
  </si>
  <si>
    <t xml:space="preserve">Modulo di esempio</t>
  </si>
  <si>
    <t xml:space="preserve">Es. Modulo 1</t>
  </si>
  <si>
    <t xml:space="preserve">Nome</t>
  </si>
  <si>
    <t xml:space="preserve">Titolo completo del modulo</t>
  </si>
  <si>
    <t xml:space="preserve">Nome breve</t>
  </si>
  <si>
    <t xml:space="preserve">Sottotitolo breve</t>
  </si>
  <si>
    <t xml:space="preserve">Sottotitolo nella schermata iniziale</t>
  </si>
  <si>
    <t xml:space="preserve">Corso</t>
  </si>
  <si>
    <t xml:space="preserve">Corso Gestione della Circolazione</t>
  </si>
  <si>
    <t xml:space="preserve">Ruolo allievo</t>
  </si>
  <si>
    <t xml:space="preserve">Allievo · Gestione della Circolazione</t>
  </si>
  <si>
    <t xml:space="preserve">Come appare il protagonista nei dialoghi</t>
  </si>
  <si>
    <t xml:space="preserve">Sotto-modulo 1 · codice</t>
  </si>
  <si>
    <t xml:space="preserve">1</t>
  </si>
  <si>
    <t xml:space="preserve">Es. 1.1 (lasciare vuoto se non serve)</t>
  </si>
  <si>
    <t xml:space="preserve">Sotto-modulo 1 · titolo</t>
  </si>
  <si>
    <t xml:space="preserve">Titolo del sotto-modulo</t>
  </si>
  <si>
    <t xml:space="preserve">Sotto-modulo 2 · codice</t>
  </si>
  <si>
    <t xml:space="preserve">Sotto-modulo 2 · titolo</t>
  </si>
  <si>
    <t xml:space="preserve">Sotto-modulo 3 · codice</t>
  </si>
  <si>
    <t xml:space="preserve">Sotto-modulo 3 · titolo</t>
  </si>
  <si>
    <t xml:space="preserve">Sotto-modulo 4 · codice</t>
  </si>
  <si>
    <t xml:space="preserve">Sotto-modulo 4 · titolo</t>
  </si>
  <si>
    <t xml:space="preserve">Revisione</t>
  </si>
  <si>
    <t xml:space="preserve">0</t>
  </si>
  <si>
    <t xml:space="preserve">Data</t>
  </si>
  <si>
    <t xml:space="preserve">2026-09-25</t>
  </si>
  <si>
    <t xml:space="preserve">AAAA-MM-GG</t>
  </si>
  <si>
    <t xml:space="preserve">Stato</t>
  </si>
  <si>
    <t xml:space="preserve">Bozza</t>
  </si>
  <si>
    <t xml:space="preserve">Bozza oppure Approvato</t>
  </si>
  <si>
    <t xml:space="preserve">Approvato da</t>
  </si>
  <si>
    <t xml:space="preserve">Ruolo di chi approva, es. RSGS</t>
  </si>
  <si>
    <t xml:space="preserve">Fonti</t>
  </si>
  <si>
    <t xml:space="preserve">Indicare i documenti di origine (titolo, revisione, pagine)</t>
  </si>
  <si>
    <t xml:space="preserve">Documenti da cui sono tratti i contenuti</t>
  </si>
  <si>
    <t xml:space="preserve">Referente guida</t>
  </si>
  <si>
    <t xml:space="preserve">istr</t>
  </si>
  <si>
    <t xml:space="preserve">ID dal foglio Referenti</t>
  </si>
  <si>
    <t xml:space="preserve">Esaminatore</t>
  </si>
  <si>
    <t xml:space="preserve">esam</t>
  </si>
  <si>
    <t xml:space="preserve">Domande esame</t>
  </si>
  <si>
    <t xml:space="preserve">Numero di domande della prova finale</t>
  </si>
  <si>
    <t xml:space="preserve">Soglia esame</t>
  </si>
  <si>
    <t xml:space="preserve">Risposte corrette necessarie</t>
  </si>
  <si>
    <t xml:space="preserve">Presentazione</t>
  </si>
  <si>
    <t xml:space="preserve">Testo della schermata iniziale: cosa si impara e come si svolge il percorso.</t>
  </si>
  <si>
    <t xml:space="preserve">Testo della schermata iniziale</t>
  </si>
  <si>
    <t xml:space="preserve">Apertura</t>
  </si>
  <si>
    <t xml:space="preserve">Prima battuta del protagonista: dove si trova e cosa deve fare.</t>
  </si>
  <si>
    <t xml:space="preserve">Prima battuta del protagonista all'inizio</t>
  </si>
  <si>
    <t xml:space="preserve">Spiegazione guida 1</t>
  </si>
  <si>
    <t xml:space="preserve">Cosa spiega il referente guida quando l'allievo si presenta: quante tappe, dove si trovano, come funzionano.</t>
  </si>
  <si>
    <t xml:space="preserve">Cosa dice il referente guida quando l'allievo si presenta</t>
  </si>
  <si>
    <t xml:space="preserve">Spiegazione guida 2</t>
  </si>
  <si>
    <t xml:space="preserve">Spiegazione guida 3</t>
  </si>
  <si>
    <t xml:space="preserve">Controllo revisione</t>
  </si>
  <si>
    <t xml:space="preserve">Righe «Da correggere»</t>
  </si>
  <si>
    <t xml:space="preserve">Righe «Da verificare»</t>
  </si>
  <si>
    <t xml:space="preserve">Righe «Approvato»</t>
  </si>
  <si>
    <t xml:space="preserve">Domande d'esame disponibili</t>
  </si>
  <si>
    <t xml:space="preserve">N</t>
  </si>
  <si>
    <t xml:space="preserve">ID</t>
  </si>
  <si>
    <t xml:space="preserve">Sotto-modulo</t>
  </si>
  <si>
    <t xml:space="preserve">Posizione</t>
  </si>
  <si>
    <t xml:space="preserve">Referente</t>
  </si>
  <si>
    <t xml:space="preserve">Grafica</t>
  </si>
  <si>
    <t xml:space="preserve">Grafica dedicata</t>
  </si>
  <si>
    <t xml:space="preserve">Modello pannello</t>
  </si>
  <si>
    <t xml:space="preserve">Nota sul pannello</t>
  </si>
  <si>
    <t xml:space="preserve">Spiegazione 1</t>
  </si>
  <si>
    <t xml:space="preserve">Spiegazione 2</t>
  </si>
  <si>
    <t xml:space="preserve">Spiegazione 3</t>
  </si>
  <si>
    <t xml:space="preserve">Nota critica</t>
  </si>
  <si>
    <t xml:space="preserve">Controlli</t>
  </si>
  <si>
    <t xml:space="preserve">Note revisore</t>
  </si>
  <si>
    <t xml:space="preserve">pdca</t>
  </si>
  <si>
    <t xml:space="preserve">Il ciclo PDCA</t>
  </si>
  <si>
    <t xml:space="preserve">standard</t>
  </si>
  <si>
    <t xml:space="preserve">modello</t>
  </si>
  <si>
    <t xml:space="preserve">La sicurezza non si ferma mai</t>
  </si>
  <si>
    <t xml:space="preserve">Il SGS vive in un ciclo che non si chiude mai: &lt;em&gt;Plan&lt;/em&gt;, valuto i rischi; &lt;em&gt;Do&lt;/em&gt;, applico le misure; &lt;em&gt;Check&lt;/em&gt;, verifico sul campo con monitoraggio e audit; &lt;em&gt;Act&lt;/em&gt;, correggo e aggiorno. E si riparte.</t>
  </si>
  <si>
    <t xml:space="preserve">Da verificare</t>
  </si>
  <si>
    <t xml:space="preserve">Tappa</t>
  </si>
  <si>
    <t xml:space="preserve">Ordine</t>
  </si>
  <si>
    <t xml:space="preserve">Punto chiave</t>
  </si>
  <si>
    <t xml:space="preserve">Plan: valutazione dei rischi, analisi preventiva degli scenari.</t>
  </si>
  <si>
    <t xml:space="preserve">Do: attuazione delle misure, applicazione delle procedure operative.</t>
  </si>
  <si>
    <t xml:space="preserve">Check: monitoraggio e audit, controllo dell'efficacia sul campo.</t>
  </si>
  <si>
    <t xml:space="preserve">Act: miglioramento, correzione delle anomalie e aggiornamento del SGS. Poi il ciclo ricomincia.</t>
  </si>
  <si>
    <t xml:space="preserve">Testo</t>
  </si>
  <si>
    <t xml:space="preserve">Testo 2</t>
  </si>
  <si>
    <t xml:space="preserve">Plan</t>
  </si>
  <si>
    <t xml:space="preserve">Valutazione dei rischi: analisi preventiva degli scenari.</t>
  </si>
  <si>
    <t xml:space="preserve">Do</t>
  </si>
  <si>
    <t xml:space="preserve">Attuazione delle misure: applicazione delle procedure operative.</t>
  </si>
  <si>
    <t xml:space="preserve">Check</t>
  </si>
  <si>
    <t xml:space="preserve">Monitoraggio e audit: controllo dell'efficacia sul campo.</t>
  </si>
  <si>
    <t xml:space="preserve">Act</t>
  </si>
  <si>
    <t xml:space="preserve">Miglioramento: correzione delle anomalie e aggiornamento del SGS.</t>
  </si>
  <si>
    <t xml:space="preserve">Lab</t>
  </si>
  <si>
    <t xml:space="preserve">Istruzioni</t>
  </si>
  <si>
    <t xml:space="preserve">Opzioni</t>
  </si>
  <si>
    <t xml:space="preserve">Ricostruisci il ciclo</t>
  </si>
  <si>
    <t xml:space="preserve">Metti le fasi in sequenza, partendo dalla pianificazione.</t>
  </si>
  <si>
    <t xml:space="preserve">In quale fase?</t>
  </si>
  <si>
    <t xml:space="preserve">Associa ogni attività alla sua fase.</t>
  </si>
  <si>
    <t xml:space="preserve">Plan | Do | Check | Act</t>
  </si>
  <si>
    <t xml:space="preserve">Voce</t>
  </si>
  <si>
    <t xml:space="preserve">Risposta</t>
  </si>
  <si>
    <t xml:space="preserve">Spiegazione</t>
  </si>
  <si>
    <t xml:space="preserve">Plan · valutazione dei rischi</t>
  </si>
  <si>
    <t xml:space="preserve">Do · attuazione delle misure e delle procedure</t>
  </si>
  <si>
    <t xml:space="preserve">Check · monitoraggio e audit sul campo</t>
  </si>
  <si>
    <t xml:space="preserve">Act · correzione e aggiornamento del SGS</t>
  </si>
  <si>
    <t xml:space="preserve">Analisi preventiva degli scenari di pericolo</t>
  </si>
  <si>
    <t xml:space="preserve">Applicazione delle procedure operative</t>
  </si>
  <si>
    <t xml:space="preserve">Audit sul campo</t>
  </si>
  <si>
    <t xml:space="preserve">Correzione di un'anomalia e revisione della procedura</t>
  </si>
  <si>
    <t xml:space="preserve">Monitoraggio degli indicatori di sicurezza</t>
  </si>
  <si>
    <t xml:space="preserve">Domanda</t>
  </si>
  <si>
    <t xml:space="preserve">Risposta corretta</t>
  </si>
  <si>
    <t xml:space="preserve">Errata 1</t>
  </si>
  <si>
    <t xml:space="preserve">Errata 2</t>
  </si>
  <si>
    <t xml:space="preserve">Errata 3</t>
  </si>
  <si>
    <t xml:space="preserve">Fonte</t>
  </si>
  <si>
    <t xml:space="preserve">Un audit sul campo rientra nella fase…</t>
  </si>
  <si>
    <t xml:space="preserve">Monitoraggio e audit verificano l'efficacia sul campo: è la fase di verifica.</t>
  </si>
  <si>
    <t xml:space="preserve">Slide 8</t>
  </si>
  <si>
    <t xml:space="preserve">Dopo la fase Act, il ciclo…</t>
  </si>
  <si>
    <t xml:space="preserve">ricomincia: la sicurezza non si ferma mai</t>
  </si>
  <si>
    <t xml:space="preserve">si chiude definitivamente</t>
  </si>
  <si>
    <t xml:space="preserve">passa ad ANSFISA</t>
  </si>
  <si>
    <t xml:space="preserve">È un ciclo di miglioramento continuo: ogni correzione diventa l'ingresso della pianificazione successiva.</t>
  </si>
  <si>
    <t xml:space="preserve">Azione</t>
  </si>
  <si>
    <t xml:space="preserve">E01</t>
  </si>
  <si>
    <t xml:space="preserve">Nel ciclo PDCA, la valutazione dei rischi appartiene alla fase…</t>
  </si>
  <si>
    <t xml:space="preserve">Pianificare significa analizzare in anticipo gli scenari di pericolo.</t>
  </si>
  <si>
    <t xml:space="preserve">E02</t>
  </si>
  <si>
    <t xml:space="preserve">Correzione delle anomalie e aggiornamento del SGS sono la fase…</t>
  </si>
  <si>
    <t xml:space="preserve">Act è il miglioramento, che riapre il ciclo.</t>
  </si>
  <si>
    <t xml:space="preserve">E03</t>
  </si>
  <si>
    <t xml:space="preserve">Monitoraggio e audit sul campo sono la fase…</t>
  </si>
  <si>
    <t xml:space="preserve">Check verifica l'efficacia delle misure sul campo.</t>
  </si>
  <si>
    <t xml:space="preserve">Ruolo</t>
  </si>
  <si>
    <t xml:space="preserve">Struttura</t>
  </si>
  <si>
    <t xml:space="preserve">Sigla</t>
  </si>
  <si>
    <t xml:space="preserve">Colore</t>
  </si>
  <si>
    <t xml:space="preserve">Figura</t>
  </si>
  <si>
    <t xml:space="preserve">Capelli</t>
  </si>
  <si>
    <t xml:space="preserve">Colore capelli</t>
  </si>
  <si>
    <t xml:space="preserve">Carnagione</t>
  </si>
  <si>
    <t xml:space="preserve">Posa</t>
  </si>
  <si>
    <t xml:space="preserve">Casco</t>
  </si>
  <si>
    <t xml:space="preserve">Saluto</t>
  </si>
  <si>
    <t xml:space="preserve">Domanda extra</t>
  </si>
  <si>
    <t xml:space="preserve">Risposta extra</t>
  </si>
  <si>
    <t xml:space="preserve">Istruttore</t>
  </si>
  <si>
    <t xml:space="preserve">Sistema di Gestione delle Competenze</t>
  </si>
  <si>
    <t xml:space="preserve">IST</t>
  </si>
  <si>
    <t xml:space="preserve">verde acqua</t>
  </si>
  <si>
    <t xml:space="preserve">F</t>
  </si>
  <si>
    <t xml:space="preserve">coda</t>
  </si>
  <si>
    <t xml:space="preserve">castano</t>
  </si>
  <si>
    <t xml:space="preserve">in piedi</t>
  </si>
  <si>
    <t xml:space="preserve">Benvenuto! Sei dei nostri per il corso di Gestione della Circolazione? Oggi il Modulo 1 lo facciamo qui, in stazione, con il servizio in corso.</t>
  </si>
  <si>
    <t xml:space="preserve">Commissione d'esame</t>
  </si>
  <si>
    <t xml:space="preserve">Esaminatore · SGC</t>
  </si>
  <si>
    <t xml:space="preserve">ESA</t>
  </si>
  <si>
    <t xml:space="preserve">viola</t>
  </si>
  <si>
    <t xml:space="preserve">M</t>
  </si>
  <si>
    <t xml:space="preserve">rasati</t>
  </si>
  <si>
    <t xml:space="preserve">grigio</t>
  </si>
  <si>
    <t xml:space="preserve">legge</t>
  </si>
  <si>
    <t xml:space="preserve">Buongiorno. Sono qui per la prova di fine modulo.</t>
  </si>
  <si>
    <t xml:space="preserve">Chi nomina la commissione?</t>
  </si>
  <si>
    <t xml:space="preserve">Le commissioni d'esame le nomina il Responsabile del Sistema di Gestione delle Competenze. Questa di oggi è una simulazione: l'esame vero lo farai con la commissione ufficiale.</t>
  </si>
  <si>
    <t xml:space="preserve">Significato</t>
  </si>
  <si>
    <t xml:space="preserve">SGS</t>
  </si>
  <si>
    <t xml:space="preserve">Sistema di Gestione della Sicurezza.</t>
  </si>
  <si>
    <t xml:space="preserve">PDCA</t>
  </si>
  <si>
    <t xml:space="preserve">Plan, Do, Check, Act: ciclo di miglioramento continuo.</t>
  </si>
  <si>
    <t xml:space="preserve">M1-01</t>
  </si>
  <si>
    <t xml:space="preserve">corti</t>
  </si>
  <si>
    <t xml:space="preserve">nero</t>
  </si>
  <si>
    <t xml:space="preserve">M1-02</t>
  </si>
  <si>
    <t xml:space="preserve">verde</t>
  </si>
  <si>
    <t xml:space="preserve">Approvato</t>
  </si>
  <si>
    <t xml:space="preserve">M1-03</t>
  </si>
  <si>
    <t xml:space="preserve">ricci</t>
  </si>
  <si>
    <t xml:space="preserve">blu</t>
  </si>
  <si>
    <t xml:space="preserve">biondo</t>
  </si>
  <si>
    <t xml:space="preserve">Da correggere</t>
  </si>
  <si>
    <t xml:space="preserve">M1-04</t>
  </si>
  <si>
    <t xml:space="preserve">lunghi</t>
  </si>
  <si>
    <t xml:space="preserve">azzurro</t>
  </si>
  <si>
    <t xml:space="preserve">M1-05</t>
  </si>
  <si>
    <t xml:space="preserve">caschetto</t>
  </si>
  <si>
    <t xml:space="preserve">arancio</t>
  </si>
  <si>
    <t xml:space="preserve">rosso</t>
  </si>
  <si>
    <t xml:space="preserve">M1-06</t>
  </si>
  <si>
    <t xml:space="preserve">chignon</t>
  </si>
  <si>
    <t xml:space="preserve">ambra</t>
  </si>
  <si>
    <t xml:space="preserve">M1-07</t>
  </si>
  <si>
    <t xml:space="preserve">M1-08</t>
  </si>
  <si>
    <t xml:space="preserve">calvo</t>
  </si>
  <si>
    <t xml:space="preserve">M1-09</t>
  </si>
  <si>
    <t xml:space="preserve">M1-10</t>
  </si>
  <si>
    <t xml:space="preserve">M1-11</t>
  </si>
  <si>
    <t xml:space="preserve">M1-12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</si>
</sst>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5386E"/>
      <name val="Arial"/>
      <family val="0"/>
      <charset val="1"/>
    </font>
    <font>
      <b val="true"/>
      <sz val="11"/>
      <color rgb="FF15386E"/>
      <name val="Arial"/>
      <family val="0"/>
      <charset val="1"/>
    </font>
    <font>
      <sz val="11"/>
      <color rgb="FF15386E"/>
      <name val="Arial"/>
      <family val="0"/>
      <charset val="1"/>
    </font>
    <font>
      <b val="true"/>
      <sz val="12"/>
      <color rgb="FF15386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386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44505E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05E"/>
        <bgColor rgb="FF333399"/>
      </patternFill>
    </fill>
    <fill>
      <patternFill patternType="solid">
        <fgColor rgb="FF15386E"/>
        <bgColor rgb="FF333399"/>
      </patternFill>
    </fill>
    <fill>
      <patternFill patternType="solid">
        <fgColor rgb="FFEE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386E"/>
      <rgbColor rgb="FF339966"/>
      <rgbColor rgb="FF003300"/>
      <rgbColor rgb="FF333300"/>
      <rgbColor rgb="FF993300"/>
      <rgbColor rgb="FF993366"/>
      <rgbColor rgb="FF333399"/>
      <rgbColor rgb="FF4450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386E"/>
    <pageSetUpPr fitToPage="false"/>
  </sheetPr>
  <dimension ref="A1:C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5" t="s">
        <v>3</v>
      </c>
      <c r="B5" s="6" t="s">
        <v>4</v>
      </c>
    </row>
    <row r="6" customFormat="false" ht="23.85" hidden="false" customHeight="false" outlineLevel="0" collapsed="false">
      <c r="A6" s="5" t="s">
        <v>5</v>
      </c>
      <c r="B6" s="6" t="s">
        <v>6</v>
      </c>
    </row>
    <row r="7" customFormat="false" ht="23.85" hidden="false" customHeight="false" outlineLevel="0" collapsed="false">
      <c r="A7" s="5" t="s">
        <v>7</v>
      </c>
      <c r="B7" s="6" t="s">
        <v>8</v>
      </c>
    </row>
    <row r="8" customFormat="false" ht="23.8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11</v>
      </c>
    </row>
    <row r="11" customFormat="false" ht="23.85" hidden="false" customHeight="false" outlineLevel="0" collapsed="false">
      <c r="A11" s="5" t="s">
        <v>12</v>
      </c>
      <c r="B11" s="6" t="s">
        <v>13</v>
      </c>
    </row>
    <row r="12" customFormat="false" ht="15" hidden="false" customHeight="false" outlineLevel="0" collapsed="false">
      <c r="A12" s="5" t="s">
        <v>14</v>
      </c>
      <c r="B12" s="6" t="s">
        <v>15</v>
      </c>
    </row>
    <row r="13" customFormat="false" ht="23.85" hidden="false" customHeight="false" outlineLevel="0" collapsed="false">
      <c r="A13" s="5" t="s">
        <v>16</v>
      </c>
      <c r="B13" s="6" t="s">
        <v>17</v>
      </c>
    </row>
    <row r="14" customFormat="false" ht="15" hidden="false" customHeight="false" outlineLevel="0" collapsed="false">
      <c r="A14" s="5" t="s">
        <v>18</v>
      </c>
      <c r="B14" s="6" t="s">
        <v>19</v>
      </c>
    </row>
    <row r="15" customFormat="false" ht="23.85" hidden="false" customHeight="false" outlineLevel="0" collapsed="false">
      <c r="A15" s="5" t="s">
        <v>20</v>
      </c>
      <c r="B15" s="6" t="s">
        <v>21</v>
      </c>
    </row>
    <row r="16" customFormat="false" ht="23.85" hidden="false" customHeight="false" outlineLevel="0" collapsed="false">
      <c r="A16" s="5" t="s">
        <v>22</v>
      </c>
      <c r="B16" s="6" t="s">
        <v>23</v>
      </c>
    </row>
    <row r="17" customFormat="false" ht="23.85" hidden="false" customHeight="false" outlineLevel="0" collapsed="false">
      <c r="A17" s="5" t="s">
        <v>24</v>
      </c>
      <c r="B17" s="6" t="s">
        <v>25</v>
      </c>
    </row>
    <row r="18" customFormat="false" ht="15" hidden="false" customHeight="false" outlineLevel="0" collapsed="false">
      <c r="A18" s="5" t="s">
        <v>26</v>
      </c>
      <c r="B18" s="6" t="s">
        <v>27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28</v>
      </c>
    </row>
    <row r="21" customFormat="false" ht="15" hidden="false" customHeight="false" outlineLevel="0" collapsed="false">
      <c r="A21" s="7" t="s">
        <v>29</v>
      </c>
    </row>
    <row r="22" customFormat="false" ht="15" hidden="false" customHeight="false" outlineLevel="0" collapsed="false">
      <c r="A22" s="8" t="s">
        <v>30</v>
      </c>
      <c r="B22" s="8" t="s">
        <v>31</v>
      </c>
    </row>
    <row r="23" customFormat="false" ht="15" hidden="false" customHeight="false" outlineLevel="0" collapsed="false">
      <c r="A23" s="9" t="s">
        <v>32</v>
      </c>
      <c r="B23" s="9" t="s">
        <v>33</v>
      </c>
    </row>
    <row r="24" customFormat="false" ht="15" hidden="false" customHeight="false" outlineLevel="0" collapsed="false">
      <c r="A24" s="9" t="s">
        <v>34</v>
      </c>
      <c r="B24" s="9" t="s">
        <v>35</v>
      </c>
    </row>
    <row r="25" customFormat="false" ht="15" hidden="false" customHeight="false" outlineLevel="0" collapsed="false">
      <c r="A25" s="9" t="s">
        <v>36</v>
      </c>
      <c r="B25" s="9" t="s">
        <v>37</v>
      </c>
    </row>
    <row r="26" customFormat="false" ht="15" hidden="false" customHeight="false" outlineLevel="0" collapsed="false">
      <c r="A26" s="9" t="s">
        <v>38</v>
      </c>
      <c r="B26" s="9" t="s">
        <v>39</v>
      </c>
    </row>
    <row r="27" customFormat="false" ht="15" hidden="false" customHeight="false" outlineLevel="0" collapsed="false">
      <c r="A27" s="9" t="s">
        <v>40</v>
      </c>
      <c r="B27" s="9" t="s">
        <v>41</v>
      </c>
    </row>
    <row r="28" customFormat="false" ht="15" hidden="false" customHeight="false" outlineLevel="0" collapsed="false">
      <c r="A28" s="9" t="s">
        <v>42</v>
      </c>
      <c r="B28" s="9" t="s">
        <v>43</v>
      </c>
    </row>
    <row r="29" customFormat="false" ht="15" hidden="false" customHeight="false" outlineLevel="0" collapsed="false">
      <c r="A29" s="9" t="s">
        <v>44</v>
      </c>
      <c r="B29" s="9" t="s">
        <v>45</v>
      </c>
    </row>
    <row r="30" customFormat="false" ht="15" hidden="false" customHeight="false" outlineLevel="0" collapsed="false">
      <c r="A30" s="9" t="s">
        <v>46</v>
      </c>
      <c r="B30" s="9" t="s">
        <v>47</v>
      </c>
    </row>
    <row r="31" customFormat="false" ht="15" hidden="false" customHeight="false" outlineLevel="0" collapsed="false">
      <c r="A31" s="9" t="s">
        <v>48</v>
      </c>
      <c r="B31" s="9" t="s">
        <v>49</v>
      </c>
    </row>
    <row r="32" customFormat="false" ht="15" hidden="false" customHeight="false" outlineLevel="0" collapsed="false">
      <c r="A32" s="9" t="s">
        <v>50</v>
      </c>
      <c r="B32" s="9" t="s">
        <v>51</v>
      </c>
    </row>
    <row r="33" customFormat="false" ht="15" hidden="false" customHeight="false" outlineLevel="0" collapsed="false">
      <c r="A33" s="9" t="s">
        <v>52</v>
      </c>
      <c r="B33" s="9" t="s">
        <v>53</v>
      </c>
    </row>
    <row r="34" customFormat="false" ht="15" hidden="false" customHeight="false" outlineLevel="0" collapsed="false">
      <c r="A34" s="9" t="s">
        <v>54</v>
      </c>
      <c r="B34" s="9" t="s">
        <v>55</v>
      </c>
    </row>
    <row r="36" customFormat="false" ht="15" hidden="false" customHeight="false" outlineLevel="0" collapsed="false">
      <c r="A36" s="7" t="s">
        <v>56</v>
      </c>
    </row>
    <row r="37" customFormat="false" ht="15" hidden="false" customHeight="false" outlineLevel="0" collapsed="false">
      <c r="A37" s="8" t="s">
        <v>57</v>
      </c>
      <c r="B37" s="8" t="s">
        <v>58</v>
      </c>
    </row>
    <row r="38" customFormat="false" ht="15" hidden="false" customHeight="false" outlineLevel="0" collapsed="false">
      <c r="A38" s="9" t="s">
        <v>59</v>
      </c>
      <c r="B38" s="9" t="s">
        <v>60</v>
      </c>
    </row>
    <row r="39" customFormat="false" ht="15" hidden="false" customHeight="false" outlineLevel="0" collapsed="false">
      <c r="A39" s="9" t="s">
        <v>61</v>
      </c>
      <c r="B39" s="9" t="s">
        <v>62</v>
      </c>
    </row>
    <row r="40" customFormat="false" ht="15" hidden="false" customHeight="false" outlineLevel="0" collapsed="false">
      <c r="A40" s="9" t="s">
        <v>63</v>
      </c>
      <c r="B40" s="9" t="s">
        <v>64</v>
      </c>
    </row>
    <row r="41" customFormat="false" ht="15" hidden="false" customHeight="false" outlineLevel="0" collapsed="false">
      <c r="A41" s="9" t="s">
        <v>65</v>
      </c>
      <c r="B41" s="9" t="s">
        <v>66</v>
      </c>
    </row>
    <row r="42" customFormat="false" ht="15" hidden="false" customHeight="false" outlineLevel="0" collapsed="false">
      <c r="A42" s="9" t="s">
        <v>67</v>
      </c>
      <c r="B42" s="9" t="s">
        <v>68</v>
      </c>
    </row>
    <row r="43" customFormat="false" ht="15" hidden="false" customHeight="false" outlineLevel="0" collapsed="false">
      <c r="A43" s="9" t="s">
        <v>69</v>
      </c>
      <c r="B43" s="9" t="s">
        <v>70</v>
      </c>
    </row>
    <row r="44" customFormat="false" ht="15" hidden="false" customHeight="false" outlineLevel="0" collapsed="false">
      <c r="A44" s="9" t="s">
        <v>71</v>
      </c>
      <c r="B44" s="9" t="s">
        <v>72</v>
      </c>
    </row>
    <row r="46" customFormat="false" ht="15" hidden="false" customHeight="false" outlineLevel="0" collapsed="false">
      <c r="A46" s="7" t="s">
        <v>73</v>
      </c>
    </row>
    <row r="47" customFormat="false" ht="15" hidden="false" customHeight="false" outlineLevel="0" collapsed="false">
      <c r="A47" s="8" t="s">
        <v>74</v>
      </c>
      <c r="B47" s="8" t="s">
        <v>75</v>
      </c>
    </row>
    <row r="48" customFormat="false" ht="15" hidden="false" customHeight="false" outlineLevel="0" collapsed="false">
      <c r="A48" s="9" t="s">
        <v>76</v>
      </c>
      <c r="B48" s="9" t="s">
        <v>77</v>
      </c>
    </row>
    <row r="49" customFormat="false" ht="15" hidden="false" customHeight="false" outlineLevel="0" collapsed="false">
      <c r="A49" s="9" t="s">
        <v>78</v>
      </c>
      <c r="B49" s="9" t="s">
        <v>79</v>
      </c>
    </row>
    <row r="50" customFormat="false" ht="22.35" hidden="false" customHeight="false" outlineLevel="0" collapsed="false">
      <c r="A50" s="9" t="s">
        <v>80</v>
      </c>
      <c r="B50" s="9" t="s">
        <v>81</v>
      </c>
    </row>
    <row r="52" customFormat="false" ht="15" hidden="false" customHeight="false" outlineLevel="0" collapsed="false">
      <c r="A52" s="7" t="s">
        <v>82</v>
      </c>
    </row>
    <row r="53" customFormat="false" ht="15" hidden="false" customHeight="false" outlineLevel="0" collapsed="false">
      <c r="A53" s="8" t="s">
        <v>83</v>
      </c>
      <c r="B53" s="8" t="s">
        <v>84</v>
      </c>
      <c r="C53" s="8" t="s">
        <v>85</v>
      </c>
    </row>
    <row r="54" customFormat="false" ht="15" hidden="false" customHeight="false" outlineLevel="0" collapsed="false">
      <c r="A54" s="9" t="s">
        <v>86</v>
      </c>
      <c r="B54" s="9" t="s">
        <v>87</v>
      </c>
      <c r="C54" s="9" t="s">
        <v>88</v>
      </c>
    </row>
    <row r="55" customFormat="false" ht="15" hidden="false" customHeight="false" outlineLevel="0" collapsed="false">
      <c r="A55" s="9" t="s">
        <v>89</v>
      </c>
      <c r="B55" s="9" t="s">
        <v>90</v>
      </c>
      <c r="C55" s="9" t="s">
        <v>88</v>
      </c>
    </row>
    <row r="56" customFormat="false" ht="15" hidden="false" customHeight="false" outlineLevel="0" collapsed="false">
      <c r="A56" s="9" t="s">
        <v>91</v>
      </c>
      <c r="B56" s="9" t="s">
        <v>92</v>
      </c>
      <c r="C56" s="9" t="s">
        <v>88</v>
      </c>
    </row>
    <row r="57" customFormat="false" ht="15" hidden="false" customHeight="false" outlineLevel="0" collapsed="false">
      <c r="A57" s="9" t="s">
        <v>93</v>
      </c>
      <c r="B57" s="9" t="s">
        <v>94</v>
      </c>
      <c r="C57" s="9" t="s">
        <v>88</v>
      </c>
    </row>
    <row r="58" customFormat="false" ht="15" hidden="false" customHeight="false" outlineLevel="0" collapsed="false">
      <c r="A58" s="9" t="s">
        <v>95</v>
      </c>
      <c r="B58" s="9" t="s">
        <v>96</v>
      </c>
      <c r="C58" s="9" t="s">
        <v>97</v>
      </c>
    </row>
    <row r="59" customFormat="false" ht="15" hidden="false" customHeight="false" outlineLevel="0" collapsed="false">
      <c r="A59" s="9" t="s">
        <v>98</v>
      </c>
      <c r="B59" s="9" t="s">
        <v>99</v>
      </c>
      <c r="C59" s="9" t="s">
        <v>97</v>
      </c>
    </row>
    <row r="60" customFormat="false" ht="15" hidden="false" customHeight="false" outlineLevel="0" collapsed="false">
      <c r="A60" s="9" t="s">
        <v>100</v>
      </c>
      <c r="B60" s="9" t="s">
        <v>101</v>
      </c>
      <c r="C60" s="9" t="s">
        <v>97</v>
      </c>
    </row>
    <row r="61" customFormat="false" ht="15" hidden="false" customHeight="false" outlineLevel="0" collapsed="false">
      <c r="A61" s="9" t="s">
        <v>102</v>
      </c>
      <c r="B61" s="9" t="s">
        <v>103</v>
      </c>
      <c r="C61" s="9" t="s">
        <v>97</v>
      </c>
    </row>
    <row r="62" customFormat="false" ht="15" hidden="false" customHeight="false" outlineLevel="0" collapsed="false">
      <c r="A62" s="9" t="s">
        <v>104</v>
      </c>
      <c r="B62" s="9" t="s">
        <v>105</v>
      </c>
      <c r="C62" s="9" t="s">
        <v>97</v>
      </c>
    </row>
    <row r="63" customFormat="false" ht="15" hidden="false" customHeight="false" outlineLevel="0" collapsed="false">
      <c r="A63" s="9" t="s">
        <v>106</v>
      </c>
      <c r="B63" s="9" t="s">
        <v>107</v>
      </c>
      <c r="C63" s="9" t="s">
        <v>97</v>
      </c>
    </row>
    <row r="65" customFormat="false" ht="15" hidden="false" customHeight="false" outlineLevel="0" collapsed="false">
      <c r="A65" s="7" t="s">
        <v>108</v>
      </c>
    </row>
    <row r="66" customFormat="false" ht="15" hidden="false" customHeight="false" outlineLevel="0" collapsed="false">
      <c r="A66" s="8" t="s">
        <v>109</v>
      </c>
      <c r="B66" s="8" t="s">
        <v>110</v>
      </c>
    </row>
    <row r="67" customFormat="false" ht="15" hidden="false" customHeight="false" outlineLevel="0" collapsed="false">
      <c r="A67" s="9" t="s">
        <v>111</v>
      </c>
      <c r="B67" s="9" t="s">
        <v>112</v>
      </c>
    </row>
    <row r="68" customFormat="false" ht="15" hidden="false" customHeight="false" outlineLevel="0" collapsed="false">
      <c r="A68" s="9" t="s">
        <v>113</v>
      </c>
      <c r="B68" s="9" t="s">
        <v>114</v>
      </c>
    </row>
    <row r="69" customFormat="false" ht="15" hidden="false" customHeight="false" outlineLevel="0" collapsed="false">
      <c r="A69" s="9" t="s">
        <v>115</v>
      </c>
      <c r="B69" s="9" t="s">
        <v>116</v>
      </c>
    </row>
    <row r="70" customFormat="false" ht="15" hidden="false" customHeight="false" outlineLevel="0" collapsed="false">
      <c r="A70" s="9" t="s">
        <v>117</v>
      </c>
      <c r="B70" s="9" t="s">
        <v>118</v>
      </c>
    </row>
    <row r="71" customFormat="false" ht="15" hidden="false" customHeight="false" outlineLevel="0" collapsed="false">
      <c r="A71" s="9" t="s">
        <v>119</v>
      </c>
      <c r="B71" s="9" t="s">
        <v>120</v>
      </c>
    </row>
    <row r="72" customFormat="false" ht="15" hidden="false" customHeight="false" outlineLevel="0" collapsed="false">
      <c r="A72" s="9" t="s">
        <v>121</v>
      </c>
      <c r="B72" s="9" t="s">
        <v>120</v>
      </c>
    </row>
    <row r="73" customFormat="false" ht="15" hidden="false" customHeight="false" outlineLevel="0" collapsed="false">
      <c r="A73" s="9" t="s">
        <v>122</v>
      </c>
      <c r="B73" s="9" t="s">
        <v>123</v>
      </c>
    </row>
    <row r="74" customFormat="false" ht="15" hidden="false" customHeight="false" outlineLevel="0" collapsed="false">
      <c r="A74" s="9" t="s">
        <v>124</v>
      </c>
      <c r="B74" s="9" t="s">
        <v>125</v>
      </c>
    </row>
    <row r="75" customFormat="false" ht="15" hidden="false" customHeight="false" outlineLevel="0" collapsed="false">
      <c r="A75" s="9" t="s">
        <v>126</v>
      </c>
      <c r="B75" s="9" t="s">
        <v>127</v>
      </c>
    </row>
    <row r="76" customFormat="false" ht="15" hidden="false" customHeight="false" outlineLevel="0" collapsed="false">
      <c r="A76" s="9" t="s">
        <v>128</v>
      </c>
      <c r="B76" s="9" t="s">
        <v>129</v>
      </c>
    </row>
    <row r="78" customFormat="false" ht="42" hidden="false" customHeight="true" outlineLevel="0" collapsed="false">
      <c r="A78" s="10" t="s">
        <v>130</v>
      </c>
      <c r="B78" s="10"/>
      <c r="C78" s="10"/>
    </row>
  </sheetData>
  <mergeCells count="1">
    <mergeCell ref="A78:C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1" t="s">
        <v>131</v>
      </c>
      <c r="B1" s="11" t="s">
        <v>132</v>
      </c>
      <c r="C1" s="11" t="s">
        <v>133</v>
      </c>
    </row>
    <row r="2" customFormat="false" ht="23.85" hidden="false" customHeight="false" outlineLevel="0" collapsed="false">
      <c r="A2" s="12" t="s">
        <v>134</v>
      </c>
      <c r="B2" s="12" t="s">
        <v>135</v>
      </c>
      <c r="C2" s="12" t="s">
        <v>136</v>
      </c>
    </row>
    <row r="3" customFormat="false" ht="15" hidden="false" customHeight="false" outlineLevel="0" collapsed="false">
      <c r="A3" s="12" t="s">
        <v>137</v>
      </c>
      <c r="B3" s="12" t="s">
        <v>138</v>
      </c>
      <c r="C3" s="12" t="s">
        <v>139</v>
      </c>
    </row>
    <row r="4" customFormat="false" ht="15" hidden="false" customHeight="false" outlineLevel="0" collapsed="false">
      <c r="A4" s="12" t="s">
        <v>140</v>
      </c>
      <c r="B4" s="12" t="s">
        <v>141</v>
      </c>
      <c r="C4" s="12" t="s">
        <v>141</v>
      </c>
    </row>
    <row r="5" customFormat="false" ht="15" hidden="false" customHeight="false" outlineLevel="0" collapsed="false">
      <c r="A5" s="12" t="s">
        <v>142</v>
      </c>
      <c r="B5" s="12" t="s">
        <v>143</v>
      </c>
      <c r="C5" s="12" t="s">
        <v>144</v>
      </c>
    </row>
    <row r="6" customFormat="false" ht="15" hidden="false" customHeight="false" outlineLevel="0" collapsed="false">
      <c r="A6" s="12" t="s">
        <v>145</v>
      </c>
      <c r="B6" s="12" t="s">
        <v>146</v>
      </c>
      <c r="C6" s="12"/>
    </row>
    <row r="7" customFormat="false" ht="15" hidden="false" customHeight="false" outlineLevel="0" collapsed="false">
      <c r="A7" s="12" t="s">
        <v>147</v>
      </c>
      <c r="B7" s="12" t="s">
        <v>148</v>
      </c>
      <c r="C7" s="12" t="s">
        <v>149</v>
      </c>
    </row>
    <row r="8" customFormat="false" ht="15" hidden="false" customHeight="false" outlineLevel="0" collapsed="false">
      <c r="A8" s="12" t="s">
        <v>150</v>
      </c>
      <c r="B8" s="12" t="s">
        <v>151</v>
      </c>
      <c r="C8" s="12" t="s">
        <v>152</v>
      </c>
    </row>
    <row r="9" customFormat="false" ht="15" hidden="false" customHeight="false" outlineLevel="0" collapsed="false">
      <c r="A9" s="12" t="s">
        <v>153</v>
      </c>
      <c r="B9" s="12" t="s">
        <v>154</v>
      </c>
      <c r="C9" s="12"/>
    </row>
    <row r="10" customFormat="false" ht="15" hidden="false" customHeight="false" outlineLevel="0" collapsed="false">
      <c r="A10" s="12" t="s">
        <v>155</v>
      </c>
      <c r="B10" s="12"/>
      <c r="C10" s="12" t="s">
        <v>152</v>
      </c>
    </row>
    <row r="11" customFormat="false" ht="15" hidden="false" customHeight="false" outlineLevel="0" collapsed="false">
      <c r="A11" s="12" t="s">
        <v>156</v>
      </c>
      <c r="B11" s="12"/>
      <c r="C11" s="12"/>
    </row>
    <row r="12" customFormat="false" ht="15" hidden="false" customHeight="false" outlineLevel="0" collapsed="false">
      <c r="A12" s="12" t="s">
        <v>157</v>
      </c>
      <c r="B12" s="12"/>
      <c r="C12" s="12" t="s">
        <v>152</v>
      </c>
    </row>
    <row r="13" customFormat="false" ht="15" hidden="false" customHeight="false" outlineLevel="0" collapsed="false">
      <c r="A13" s="12" t="s">
        <v>158</v>
      </c>
      <c r="B13" s="12"/>
      <c r="C13" s="12"/>
    </row>
    <row r="14" customFormat="false" ht="15" hidden="false" customHeight="false" outlineLevel="0" collapsed="false">
      <c r="A14" s="12" t="s">
        <v>159</v>
      </c>
      <c r="B14" s="12"/>
      <c r="C14" s="12" t="s">
        <v>152</v>
      </c>
    </row>
    <row r="15" customFormat="false" ht="15" hidden="false" customHeight="false" outlineLevel="0" collapsed="false">
      <c r="A15" s="12" t="s">
        <v>160</v>
      </c>
      <c r="B15" s="12"/>
      <c r="C15" s="12"/>
    </row>
    <row r="16" customFormat="false" ht="15" hidden="false" customHeight="false" outlineLevel="0" collapsed="false">
      <c r="A16" s="12" t="s">
        <v>161</v>
      </c>
      <c r="B16" s="12" t="s">
        <v>162</v>
      </c>
      <c r="C16" s="12"/>
    </row>
    <row r="17" customFormat="false" ht="15" hidden="false" customHeight="false" outlineLevel="0" collapsed="false">
      <c r="A17" s="12" t="s">
        <v>163</v>
      </c>
      <c r="B17" s="12" t="s">
        <v>164</v>
      </c>
      <c r="C17" s="12" t="s">
        <v>165</v>
      </c>
    </row>
    <row r="18" customFormat="false" ht="15" hidden="false" customHeight="false" outlineLevel="0" collapsed="false">
      <c r="A18" s="12" t="s">
        <v>166</v>
      </c>
      <c r="B18" s="12" t="s">
        <v>167</v>
      </c>
      <c r="C18" s="12" t="s">
        <v>168</v>
      </c>
    </row>
    <row r="19" customFormat="false" ht="15" hidden="false" customHeight="false" outlineLevel="0" collapsed="false">
      <c r="A19" s="12" t="s">
        <v>169</v>
      </c>
      <c r="B19" s="12"/>
      <c r="C19" s="12" t="s">
        <v>170</v>
      </c>
    </row>
    <row r="20" customFormat="false" ht="15" hidden="false" customHeight="false" outlineLevel="0" collapsed="false">
      <c r="A20" s="12" t="s">
        <v>171</v>
      </c>
      <c r="B20" s="12" t="s">
        <v>172</v>
      </c>
      <c r="C20" s="12" t="s">
        <v>173</v>
      </c>
    </row>
    <row r="21" customFormat="false" ht="15" hidden="false" customHeight="false" outlineLevel="0" collapsed="false">
      <c r="A21" s="12" t="s">
        <v>174</v>
      </c>
      <c r="B21" s="12" t="s">
        <v>175</v>
      </c>
      <c r="C21" s="12" t="s">
        <v>176</v>
      </c>
    </row>
    <row r="22" customFormat="false" ht="15" hidden="false" customHeight="false" outlineLevel="0" collapsed="false">
      <c r="A22" s="12" t="s">
        <v>177</v>
      </c>
      <c r="B22" s="12" t="s">
        <v>178</v>
      </c>
      <c r="C22" s="12" t="s">
        <v>176</v>
      </c>
    </row>
    <row r="23" customFormat="false" ht="15" hidden="false" customHeight="false" outlineLevel="0" collapsed="false">
      <c r="A23" s="12" t="s">
        <v>179</v>
      </c>
      <c r="B23" s="12" t="n">
        <v>3</v>
      </c>
      <c r="C23" s="12" t="s">
        <v>180</v>
      </c>
    </row>
    <row r="24" customFormat="false" ht="15" hidden="false" customHeight="false" outlineLevel="0" collapsed="false">
      <c r="A24" s="12" t="s">
        <v>181</v>
      </c>
      <c r="B24" s="12" t="n">
        <v>2</v>
      </c>
      <c r="C24" s="12" t="s">
        <v>182</v>
      </c>
    </row>
    <row r="25" customFormat="false" ht="15" hidden="false" customHeight="false" outlineLevel="0" collapsed="false">
      <c r="A25" s="12" t="s">
        <v>183</v>
      </c>
      <c r="B25" s="12" t="s">
        <v>184</v>
      </c>
      <c r="C25" s="12" t="s">
        <v>185</v>
      </c>
    </row>
    <row r="26" customFormat="false" ht="15" hidden="false" customHeight="false" outlineLevel="0" collapsed="false">
      <c r="A26" s="12" t="s">
        <v>186</v>
      </c>
      <c r="B26" s="12" t="s">
        <v>187</v>
      </c>
      <c r="C26" s="12" t="s">
        <v>188</v>
      </c>
    </row>
    <row r="27" customFormat="false" ht="15" hidden="false" customHeight="false" outlineLevel="0" collapsed="false">
      <c r="A27" s="12" t="s">
        <v>189</v>
      </c>
      <c r="B27" s="12" t="s">
        <v>190</v>
      </c>
      <c r="C27" s="12" t="s">
        <v>191</v>
      </c>
    </row>
    <row r="28" customFormat="false" ht="15" hidden="false" customHeight="false" outlineLevel="0" collapsed="false">
      <c r="A28" s="12" t="s">
        <v>192</v>
      </c>
      <c r="B28" s="12"/>
      <c r="C28" s="12" t="s">
        <v>191</v>
      </c>
    </row>
    <row r="29" customFormat="false" ht="15" hidden="false" customHeight="false" outlineLevel="0" collapsed="false">
      <c r="A29" s="12" t="s">
        <v>193</v>
      </c>
      <c r="B29" s="12"/>
      <c r="C29" s="12" t="s">
        <v>191</v>
      </c>
    </row>
    <row r="31" customFormat="false" ht="15" hidden="false" customHeight="false" outlineLevel="0" collapsed="false">
      <c r="A31" s="7" t="s">
        <v>194</v>
      </c>
    </row>
    <row r="32" customFormat="false" ht="15" hidden="false" customHeight="false" outlineLevel="0" collapsed="false">
      <c r="A32" s="13" t="s">
        <v>195</v>
      </c>
      <c r="B32" s="14" t="n">
        <f aca="false">COUNTIF(Tappe!Q:Q,"Da correggere")+COUNTIF(Punti!D:D,"Da correggere")+COUNTIF(Laboratori!G:G,"Da correggere")+COUNTIF(Quiz!J:J,"Da correggere")+COUNTIF(Sopralluogo!H:H,"Da correggere")+COUNTIF(Esame!J:J,"Da correggere")</f>
        <v>0</v>
      </c>
    </row>
    <row r="33" customFormat="false" ht="15" hidden="false" customHeight="false" outlineLevel="0" collapsed="false">
      <c r="A33" s="13" t="s">
        <v>196</v>
      </c>
      <c r="B33" s="14" t="n">
        <f aca="false">COUNTIF(Tappe!Q:Q,"Da verificare")+COUNTIF(Punti!D:D,"Da verificare")+COUNTIF(Laboratori!G:G,"Da verificare")+COUNTIF(Quiz!J:J,"Da verificare")+COUNTIF(Sopralluogo!H:H,"Da verificare")+COUNTIF(Esame!J:J,"Da verificare")</f>
        <v>12</v>
      </c>
    </row>
    <row r="34" customFormat="false" ht="15" hidden="false" customHeight="false" outlineLevel="0" collapsed="false">
      <c r="A34" s="13" t="s">
        <v>197</v>
      </c>
      <c r="B34" s="14" t="n">
        <f aca="false">COUNTIF(Tappe!Q:Q,"Approvato")+COUNTIF(Punti!D:D,"Approvato")+COUNTIF(Laboratori!G:G,"Approvato")+COUNTIF(Quiz!J:J,"Approvato")+COUNTIF(Sopralluogo!H:H,"Approvato")+COUNTIF(Esame!J:J,"Approvato")</f>
        <v>0</v>
      </c>
    </row>
    <row r="35" customFormat="false" ht="15" hidden="false" customHeight="false" outlineLevel="0" collapsed="false">
      <c r="A35" s="13" t="s">
        <v>12</v>
      </c>
      <c r="B35" s="14" t="n">
        <f aca="false">COUNT(Tappe!A:A)</f>
        <v>1</v>
      </c>
    </row>
    <row r="36" customFormat="false" ht="15" hidden="false" customHeight="false" outlineLevel="0" collapsed="false">
      <c r="A36" s="13" t="s">
        <v>198</v>
      </c>
      <c r="B36" s="14" t="n">
        <f aca="false">COUNTA(Esame!C:C)-1</f>
        <v>3</v>
      </c>
    </row>
  </sheetData>
  <dataValidations count="1">
    <dataValidation allowBlank="false" errorStyle="stop" operator="between" showDropDown="false" showErrorMessage="false" showInputMessage="false" sqref="B18" type="list">
      <formula1>"Bozza,Approvato"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40"/>
    <col collapsed="false" customWidth="true" hidden="false" outlineLevel="0" max="13" min="12" style="0" width="50"/>
    <col collapsed="false" customWidth="true" hidden="false" outlineLevel="0" max="14" min="14" style="0" width="30"/>
    <col collapsed="false" customWidth="true" hidden="false" outlineLevel="0" max="15" min="15" style="0" width="50"/>
    <col collapsed="false" customWidth="true" hidden="false" outlineLevel="0" max="16" min="16" style="0" width="22"/>
    <col collapsed="false" customWidth="true" hidden="false" outlineLevel="0" max="17" min="17" style="0" width="14"/>
    <col collapsed="false" customWidth="true" hidden="false" outlineLevel="0" max="18" min="18" style="0" width="30"/>
  </cols>
  <sheetData>
    <row r="1" customFormat="false" ht="30" hidden="false" customHeight="true" outlineLevel="0" collapsed="false">
      <c r="A1" s="11" t="s">
        <v>199</v>
      </c>
      <c r="B1" s="11" t="s">
        <v>200</v>
      </c>
      <c r="C1" s="11" t="s">
        <v>201</v>
      </c>
      <c r="D1" s="11" t="s">
        <v>137</v>
      </c>
      <c r="E1" s="11" t="s">
        <v>202</v>
      </c>
      <c r="F1" s="11" t="s">
        <v>203</v>
      </c>
      <c r="G1" s="11" t="s">
        <v>74</v>
      </c>
      <c r="H1" s="11" t="s">
        <v>204</v>
      </c>
      <c r="I1" s="11" t="s">
        <v>205</v>
      </c>
      <c r="J1" s="11" t="s">
        <v>206</v>
      </c>
      <c r="K1" s="11" t="s">
        <v>207</v>
      </c>
      <c r="L1" s="11" t="s">
        <v>208</v>
      </c>
      <c r="M1" s="11" t="s">
        <v>209</v>
      </c>
      <c r="N1" s="11" t="s">
        <v>210</v>
      </c>
      <c r="O1" s="11" t="s">
        <v>211</v>
      </c>
      <c r="P1" s="11" t="s">
        <v>212</v>
      </c>
      <c r="Q1" s="11" t="s">
        <v>161</v>
      </c>
      <c r="R1" s="11" t="s">
        <v>213</v>
      </c>
    </row>
    <row r="2" customFormat="false" ht="35.05" hidden="false" customHeight="false" outlineLevel="0" collapsed="false">
      <c r="A2" s="12" t="n">
        <v>1</v>
      </c>
      <c r="B2" s="12" t="s">
        <v>214</v>
      </c>
      <c r="C2" s="12" t="s">
        <v>151</v>
      </c>
      <c r="D2" s="12" t="s">
        <v>215</v>
      </c>
      <c r="E2" s="12" t="s">
        <v>32</v>
      </c>
      <c r="F2" s="12" t="s">
        <v>175</v>
      </c>
      <c r="G2" s="12" t="s">
        <v>216</v>
      </c>
      <c r="H2" s="12" t="s">
        <v>217</v>
      </c>
      <c r="I2" s="12"/>
      <c r="J2" s="12" t="s">
        <v>63</v>
      </c>
      <c r="K2" s="12" t="s">
        <v>218</v>
      </c>
      <c r="L2" s="12" t="s">
        <v>219</v>
      </c>
      <c r="M2" s="12"/>
      <c r="N2" s="12"/>
      <c r="O2" s="12"/>
      <c r="P2" s="15" t="str">
        <f aca="false">COUNTIF(Punti!A:A,A2)&amp;" punti · "&amp;COUNTIF(Quiz!A:A,A2)&amp;" quiz · "&amp;COUNTIF(Esame!B:B,A2)&amp;" esame"</f>
        <v>4 punti · 2 quiz · 3 esame</v>
      </c>
      <c r="Q2" s="16" t="s">
        <v>220</v>
      </c>
      <c r="R2" s="16"/>
    </row>
  </sheetData>
  <dataValidations count="7">
    <dataValidation allowBlank="true" error="Scegli un valore dall'elenco." errorStyle="stop" errorTitle="Valore non previsto" operator="between" showDropDown="false" showErrorMessage="true" showInputMessage="false" sqref="E2:E400" type="list">
      <formula1>Elenchi!$A$2:$A$13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F2:F400" type="list">
      <formula1>Referenti!$A$2:$A$40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G2:G400" type="list">
      <formula1>"standard,sopralluogo"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H2:H400" type="list">
      <formula1>"dedicata,modello"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I2:I400" type="list">
      <formula1>Elenchi!$B$2:$B$13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J2:J400" type="list">
      <formula1>Elenchi!$C$2:$C$8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Q2:Q400" type="list">
      <formula1>Elenchi!$I$2:$I$4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00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1" t="s">
        <v>221</v>
      </c>
      <c r="B1" s="11" t="s">
        <v>222</v>
      </c>
      <c r="C1" s="11" t="s">
        <v>223</v>
      </c>
      <c r="D1" s="11" t="s">
        <v>161</v>
      </c>
      <c r="E1" s="11" t="s">
        <v>213</v>
      </c>
    </row>
    <row r="2" customFormat="false" ht="15" hidden="false" customHeight="false" outlineLevel="0" collapsed="false">
      <c r="A2" s="12" t="n">
        <v>1</v>
      </c>
      <c r="B2" s="12" t="n">
        <v>1</v>
      </c>
      <c r="C2" s="12" t="s">
        <v>224</v>
      </c>
      <c r="D2" s="16" t="s">
        <v>220</v>
      </c>
      <c r="E2" s="16"/>
    </row>
    <row r="3" customFormat="false" ht="15" hidden="false" customHeight="false" outlineLevel="0" collapsed="false">
      <c r="A3" s="12" t="n">
        <v>1</v>
      </c>
      <c r="B3" s="12" t="n">
        <v>2</v>
      </c>
      <c r="C3" s="12" t="s">
        <v>225</v>
      </c>
      <c r="D3" s="16" t="s">
        <v>220</v>
      </c>
      <c r="E3" s="16"/>
    </row>
    <row r="4" customFormat="false" ht="15" hidden="false" customHeight="false" outlineLevel="0" collapsed="false">
      <c r="A4" s="12" t="n">
        <v>1</v>
      </c>
      <c r="B4" s="12" t="n">
        <v>3</v>
      </c>
      <c r="C4" s="12" t="s">
        <v>226</v>
      </c>
      <c r="D4" s="16" t="s">
        <v>220</v>
      </c>
      <c r="E4" s="16"/>
    </row>
    <row r="5" customFormat="false" ht="15" hidden="false" customHeight="false" outlineLevel="0" collapsed="false">
      <c r="A5" s="12" t="n">
        <v>1</v>
      </c>
      <c r="B5" s="12" t="n">
        <v>4</v>
      </c>
      <c r="C5" s="12" t="s">
        <v>227</v>
      </c>
      <c r="D5" s="16" t="s">
        <v>220</v>
      </c>
      <c r="E5" s="16"/>
    </row>
  </sheetData>
  <dataValidations count="1">
    <dataValidation allowBlank="true" error="Scegli un valore dall'elenco." errorStyle="stop" errorTitle="Valore non previsto" operator="between" showDropDown="false" showErrorMessage="true" showInputMessage="false" sqref="D2:D800" type="list">
      <formula1>Elenchi!$I$2:$I$4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50"/>
  </cols>
  <sheetData>
    <row r="1" customFormat="false" ht="30" hidden="false" customHeight="true" outlineLevel="0" collapsed="false">
      <c r="A1" s="11" t="s">
        <v>221</v>
      </c>
      <c r="B1" s="11" t="s">
        <v>222</v>
      </c>
      <c r="C1" s="11" t="s">
        <v>137</v>
      </c>
      <c r="D1" s="11" t="s">
        <v>228</v>
      </c>
      <c r="E1" s="11" t="s">
        <v>229</v>
      </c>
    </row>
    <row r="2" customFormat="false" ht="15" hidden="false" customHeight="false" outlineLevel="0" collapsed="false">
      <c r="A2" s="12" t="n">
        <v>1</v>
      </c>
      <c r="B2" s="12" t="n">
        <v>1</v>
      </c>
      <c r="C2" s="12" t="s">
        <v>230</v>
      </c>
      <c r="D2" s="12" t="s">
        <v>231</v>
      </c>
      <c r="E2" s="12"/>
    </row>
    <row r="3" customFormat="false" ht="15" hidden="false" customHeight="false" outlineLevel="0" collapsed="false">
      <c r="A3" s="12" t="n">
        <v>1</v>
      </c>
      <c r="B3" s="12" t="n">
        <v>2</v>
      </c>
      <c r="C3" s="12" t="s">
        <v>232</v>
      </c>
      <c r="D3" s="12" t="s">
        <v>233</v>
      </c>
      <c r="E3" s="12"/>
    </row>
    <row r="4" customFormat="false" ht="15" hidden="false" customHeight="false" outlineLevel="0" collapsed="false">
      <c r="A4" s="12" t="n">
        <v>1</v>
      </c>
      <c r="B4" s="12" t="n">
        <v>3</v>
      </c>
      <c r="C4" s="12" t="s">
        <v>234</v>
      </c>
      <c r="D4" s="12" t="s">
        <v>235</v>
      </c>
      <c r="E4" s="12"/>
    </row>
    <row r="5" customFormat="false" ht="15" hidden="false" customHeight="false" outlineLevel="0" collapsed="false">
      <c r="A5" s="12" t="n">
        <v>1</v>
      </c>
      <c r="B5" s="12" t="n">
        <v>4</v>
      </c>
      <c r="C5" s="12" t="s">
        <v>236</v>
      </c>
      <c r="D5" s="12" t="s">
        <v>237</v>
      </c>
      <c r="E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50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1" t="s">
        <v>221</v>
      </c>
      <c r="B1" s="11" t="s">
        <v>238</v>
      </c>
      <c r="C1" s="11" t="s">
        <v>74</v>
      </c>
      <c r="D1" s="11" t="s">
        <v>137</v>
      </c>
      <c r="E1" s="11" t="s">
        <v>239</v>
      </c>
      <c r="F1" s="11" t="s">
        <v>240</v>
      </c>
      <c r="G1" s="11" t="s">
        <v>161</v>
      </c>
      <c r="H1" s="11" t="s">
        <v>213</v>
      </c>
    </row>
    <row r="2" customFormat="false" ht="15" hidden="false" customHeight="false" outlineLevel="0" collapsed="false">
      <c r="A2" s="12" t="n">
        <v>1</v>
      </c>
      <c r="B2" s="12" t="n">
        <v>1</v>
      </c>
      <c r="C2" s="12" t="s">
        <v>76</v>
      </c>
      <c r="D2" s="12" t="s">
        <v>241</v>
      </c>
      <c r="E2" s="12" t="s">
        <v>242</v>
      </c>
      <c r="F2" s="12"/>
      <c r="G2" s="16" t="s">
        <v>220</v>
      </c>
      <c r="H2" s="16"/>
    </row>
    <row r="3" customFormat="false" ht="15" hidden="false" customHeight="false" outlineLevel="0" collapsed="false">
      <c r="A3" s="12" t="n">
        <v>1</v>
      </c>
      <c r="B3" s="12" t="n">
        <v>2</v>
      </c>
      <c r="C3" s="12" t="s">
        <v>78</v>
      </c>
      <c r="D3" s="12" t="s">
        <v>243</v>
      </c>
      <c r="E3" s="12" t="s">
        <v>244</v>
      </c>
      <c r="F3" s="12" t="s">
        <v>245</v>
      </c>
      <c r="G3" s="16" t="s">
        <v>220</v>
      </c>
      <c r="H3" s="16"/>
    </row>
  </sheetData>
  <dataValidations count="2">
    <dataValidation allowBlank="true" error="Scegli un valore dall'elenco." errorStyle="stop" errorTitle="Valore non previsto" operator="between" showDropDown="false" showErrorMessage="true" showInputMessage="false" sqref="C2:C400" type="list">
      <formula1>"ordina,abbina,scelta"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G2:G400" type="list">
      <formula1>Elenchi!$I$2:$I$4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50"/>
  </cols>
  <sheetData>
    <row r="1" customFormat="false" ht="30" hidden="false" customHeight="true" outlineLevel="0" collapsed="false">
      <c r="A1" s="11" t="s">
        <v>221</v>
      </c>
      <c r="B1" s="11" t="s">
        <v>238</v>
      </c>
      <c r="C1" s="11" t="s">
        <v>246</v>
      </c>
      <c r="D1" s="11" t="s">
        <v>247</v>
      </c>
      <c r="E1" s="11" t="s">
        <v>248</v>
      </c>
    </row>
    <row r="2" customFormat="false" ht="15" hidden="false" customHeight="false" outlineLevel="0" collapsed="false">
      <c r="A2" s="12" t="n">
        <v>1</v>
      </c>
      <c r="B2" s="12" t="n">
        <v>1</v>
      </c>
      <c r="C2" s="12" t="s">
        <v>249</v>
      </c>
      <c r="D2" s="12" t="n">
        <v>1</v>
      </c>
      <c r="E2" s="12"/>
    </row>
    <row r="3" customFormat="false" ht="15" hidden="false" customHeight="false" outlineLevel="0" collapsed="false">
      <c r="A3" s="12" t="n">
        <v>1</v>
      </c>
      <c r="B3" s="12" t="n">
        <v>1</v>
      </c>
      <c r="C3" s="12" t="s">
        <v>250</v>
      </c>
      <c r="D3" s="12" t="n">
        <v>2</v>
      </c>
      <c r="E3" s="12"/>
    </row>
    <row r="4" customFormat="false" ht="15" hidden="false" customHeight="false" outlineLevel="0" collapsed="false">
      <c r="A4" s="12" t="n">
        <v>1</v>
      </c>
      <c r="B4" s="12" t="n">
        <v>1</v>
      </c>
      <c r="C4" s="12" t="s">
        <v>251</v>
      </c>
      <c r="D4" s="12" t="n">
        <v>3</v>
      </c>
      <c r="E4" s="12"/>
    </row>
    <row r="5" customFormat="false" ht="15" hidden="false" customHeight="false" outlineLevel="0" collapsed="false">
      <c r="A5" s="12" t="n">
        <v>1</v>
      </c>
      <c r="B5" s="12" t="n">
        <v>1</v>
      </c>
      <c r="C5" s="12" t="s">
        <v>252</v>
      </c>
      <c r="D5" s="12" t="n">
        <v>4</v>
      </c>
      <c r="E5" s="12"/>
    </row>
    <row r="6" customFormat="false" ht="15" hidden="false" customHeight="false" outlineLevel="0" collapsed="false">
      <c r="A6" s="12" t="n">
        <v>1</v>
      </c>
      <c r="B6" s="12" t="n">
        <v>2</v>
      </c>
      <c r="C6" s="12" t="s">
        <v>253</v>
      </c>
      <c r="D6" s="12" t="s">
        <v>230</v>
      </c>
      <c r="E6" s="12"/>
    </row>
    <row r="7" customFormat="false" ht="15" hidden="false" customHeight="false" outlineLevel="0" collapsed="false">
      <c r="A7" s="12" t="n">
        <v>1</v>
      </c>
      <c r="B7" s="12" t="n">
        <v>2</v>
      </c>
      <c r="C7" s="12" t="s">
        <v>254</v>
      </c>
      <c r="D7" s="12" t="s">
        <v>232</v>
      </c>
      <c r="E7" s="12"/>
    </row>
    <row r="8" customFormat="false" ht="15" hidden="false" customHeight="false" outlineLevel="0" collapsed="false">
      <c r="A8" s="12" t="n">
        <v>1</v>
      </c>
      <c r="B8" s="12" t="n">
        <v>2</v>
      </c>
      <c r="C8" s="12" t="s">
        <v>255</v>
      </c>
      <c r="D8" s="12" t="s">
        <v>234</v>
      </c>
      <c r="E8" s="12"/>
    </row>
    <row r="9" customFormat="false" ht="15" hidden="false" customHeight="false" outlineLevel="0" collapsed="false">
      <c r="A9" s="12" t="n">
        <v>1</v>
      </c>
      <c r="B9" s="12" t="n">
        <v>2</v>
      </c>
      <c r="C9" s="12" t="s">
        <v>256</v>
      </c>
      <c r="D9" s="12" t="s">
        <v>236</v>
      </c>
      <c r="E9" s="12"/>
    </row>
    <row r="10" customFormat="false" ht="15" hidden="false" customHeight="false" outlineLevel="0" collapsed="false">
      <c r="A10" s="12" t="n">
        <v>1</v>
      </c>
      <c r="B10" s="12" t="n">
        <v>2</v>
      </c>
      <c r="C10" s="12" t="s">
        <v>257</v>
      </c>
      <c r="D10" s="12" t="s">
        <v>234</v>
      </c>
      <c r="E1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6" min="5" style="0" width="34"/>
    <col collapsed="false" customWidth="true" hidden="false" outlineLevel="0" max="7" min="7" style="0" width="22"/>
    <col collapsed="false" customWidth="true" hidden="false" outlineLevel="0" max="8" min="8" style="0" width="5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1" t="s">
        <v>221</v>
      </c>
      <c r="B1" s="11" t="s">
        <v>222</v>
      </c>
      <c r="C1" s="11" t="s">
        <v>258</v>
      </c>
      <c r="D1" s="11" t="s">
        <v>259</v>
      </c>
      <c r="E1" s="11" t="s">
        <v>260</v>
      </c>
      <c r="F1" s="11" t="s">
        <v>261</v>
      </c>
      <c r="G1" s="11" t="s">
        <v>262</v>
      </c>
      <c r="H1" s="11" t="s">
        <v>248</v>
      </c>
      <c r="I1" s="11" t="s">
        <v>263</v>
      </c>
      <c r="J1" s="11" t="s">
        <v>161</v>
      </c>
      <c r="K1" s="11" t="s">
        <v>213</v>
      </c>
    </row>
    <row r="2" customFormat="false" ht="15" hidden="false" customHeight="false" outlineLevel="0" collapsed="false">
      <c r="A2" s="12" t="n">
        <v>1</v>
      </c>
      <c r="B2" s="12" t="n">
        <v>1</v>
      </c>
      <c r="C2" s="12" t="s">
        <v>264</v>
      </c>
      <c r="D2" s="12" t="s">
        <v>234</v>
      </c>
      <c r="E2" s="12" t="s">
        <v>230</v>
      </c>
      <c r="F2" s="12" t="s">
        <v>236</v>
      </c>
      <c r="G2" s="12"/>
      <c r="H2" s="12" t="s">
        <v>265</v>
      </c>
      <c r="I2" s="12" t="s">
        <v>266</v>
      </c>
      <c r="J2" s="16" t="s">
        <v>220</v>
      </c>
      <c r="K2" s="16"/>
    </row>
    <row r="3" customFormat="false" ht="23.85" hidden="false" customHeight="false" outlineLevel="0" collapsed="false">
      <c r="A3" s="12" t="n">
        <v>1</v>
      </c>
      <c r="B3" s="12" t="n">
        <v>2</v>
      </c>
      <c r="C3" s="12" t="s">
        <v>267</v>
      </c>
      <c r="D3" s="12" t="s">
        <v>268</v>
      </c>
      <c r="E3" s="12" t="s">
        <v>269</v>
      </c>
      <c r="F3" s="12" t="s">
        <v>270</v>
      </c>
      <c r="G3" s="12"/>
      <c r="H3" s="12" t="s">
        <v>271</v>
      </c>
      <c r="I3" s="12" t="s">
        <v>266</v>
      </c>
      <c r="J3" s="16" t="s">
        <v>220</v>
      </c>
      <c r="K3" s="16"/>
    </row>
  </sheetData>
  <dataValidations count="1">
    <dataValidation allowBlank="true" error="Scegli un valore dall'elenco." errorStyle="stop" errorTitle="Valore non previsto" operator="between" showDropDown="false" showErrorMessage="true" showInputMessage="false" sqref="J2:J400" type="list">
      <formula1>Elenchi!$I$2:$I$4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1" t="s">
        <v>221</v>
      </c>
      <c r="B1" s="11" t="s">
        <v>83</v>
      </c>
      <c r="C1" s="11" t="s">
        <v>272</v>
      </c>
      <c r="D1" s="11" t="s">
        <v>137</v>
      </c>
      <c r="E1" s="11" t="s">
        <v>110</v>
      </c>
      <c r="F1" s="11" t="s">
        <v>240</v>
      </c>
      <c r="G1" s="11" t="s">
        <v>259</v>
      </c>
      <c r="H1" s="11" t="s">
        <v>161</v>
      </c>
      <c r="I1" s="11" t="s">
        <v>213</v>
      </c>
    </row>
  </sheetData>
  <dataValidations count="2">
    <dataValidation allowBlank="true" error="Scegli un valore dall'elenco." errorStyle="stop" errorTitle="Valore non previsto" operator="between" showDropDown="false" showErrorMessage="true" showInputMessage="false" sqref="B2:B400" type="list">
      <formula1>Elenchi!$D$2:$D$11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H2:H400" type="list">
      <formula1>Elenchi!$I$2:$I$4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7" min="5" style="0" width="32"/>
    <col collapsed="false" customWidth="true" hidden="false" outlineLevel="0" max="8" min="8" style="0" width="5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1" t="s">
        <v>200</v>
      </c>
      <c r="B1" s="11" t="s">
        <v>221</v>
      </c>
      <c r="C1" s="11" t="s">
        <v>258</v>
      </c>
      <c r="D1" s="11" t="s">
        <v>259</v>
      </c>
      <c r="E1" s="11" t="s">
        <v>260</v>
      </c>
      <c r="F1" s="11" t="s">
        <v>261</v>
      </c>
      <c r="G1" s="11" t="s">
        <v>262</v>
      </c>
      <c r="H1" s="11" t="s">
        <v>248</v>
      </c>
      <c r="I1" s="11" t="s">
        <v>263</v>
      </c>
      <c r="J1" s="11" t="s">
        <v>161</v>
      </c>
      <c r="K1" s="11" t="s">
        <v>213</v>
      </c>
    </row>
    <row r="2" customFormat="false" ht="15" hidden="false" customHeight="false" outlineLevel="0" collapsed="false">
      <c r="A2" s="12" t="s">
        <v>273</v>
      </c>
      <c r="B2" s="12" t="n">
        <v>1</v>
      </c>
      <c r="C2" s="12" t="s">
        <v>274</v>
      </c>
      <c r="D2" s="12" t="s">
        <v>230</v>
      </c>
      <c r="E2" s="12" t="s">
        <v>232</v>
      </c>
      <c r="F2" s="12" t="s">
        <v>234</v>
      </c>
      <c r="G2" s="12" t="s">
        <v>236</v>
      </c>
      <c r="H2" s="12" t="s">
        <v>275</v>
      </c>
      <c r="I2" s="12" t="s">
        <v>266</v>
      </c>
      <c r="J2" s="16" t="s">
        <v>220</v>
      </c>
      <c r="K2" s="16"/>
    </row>
    <row r="3" customFormat="false" ht="15" hidden="false" customHeight="false" outlineLevel="0" collapsed="false">
      <c r="A3" s="12" t="s">
        <v>276</v>
      </c>
      <c r="B3" s="12" t="n">
        <v>1</v>
      </c>
      <c r="C3" s="12" t="s">
        <v>277</v>
      </c>
      <c r="D3" s="12" t="s">
        <v>236</v>
      </c>
      <c r="E3" s="12" t="s">
        <v>230</v>
      </c>
      <c r="F3" s="12" t="s">
        <v>232</v>
      </c>
      <c r="G3" s="12" t="s">
        <v>234</v>
      </c>
      <c r="H3" s="12" t="s">
        <v>278</v>
      </c>
      <c r="I3" s="12" t="s">
        <v>266</v>
      </c>
      <c r="J3" s="16" t="s">
        <v>220</v>
      </c>
      <c r="K3" s="16"/>
    </row>
    <row r="4" customFormat="false" ht="15" hidden="false" customHeight="false" outlineLevel="0" collapsed="false">
      <c r="A4" s="12" t="s">
        <v>279</v>
      </c>
      <c r="B4" s="12" t="n">
        <v>1</v>
      </c>
      <c r="C4" s="12" t="s">
        <v>280</v>
      </c>
      <c r="D4" s="12" t="s">
        <v>234</v>
      </c>
      <c r="E4" s="12" t="s">
        <v>232</v>
      </c>
      <c r="F4" s="12" t="s">
        <v>236</v>
      </c>
      <c r="G4" s="12" t="s">
        <v>230</v>
      </c>
      <c r="H4" s="12" t="s">
        <v>281</v>
      </c>
      <c r="I4" s="12" t="s">
        <v>266</v>
      </c>
      <c r="J4" s="16" t="s">
        <v>220</v>
      </c>
      <c r="K4" s="16"/>
    </row>
  </sheetData>
  <dataValidations count="1">
    <dataValidation allowBlank="true" error="Scegli un valore dall'elenco." errorStyle="stop" errorTitle="Valore non previsto" operator="between" showDropDown="false" showErrorMessage="true" showInputMessage="false" sqref="J2:J400" type="list">
      <formula1>Elenchi!$I$2:$I$4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7"/>
    <col collapsed="false" customWidth="true" hidden="false" outlineLevel="0" max="13" min="13" style="0" width="50"/>
    <col collapsed="false" customWidth="true" hidden="false" outlineLevel="0" max="14" min="14" style="0" width="34"/>
    <col collapsed="false" customWidth="true" hidden="false" outlineLevel="0" max="15" min="15" style="0" width="50"/>
  </cols>
  <sheetData>
    <row r="1" customFormat="false" ht="30" hidden="false" customHeight="true" outlineLevel="0" collapsed="false">
      <c r="A1" s="11" t="s">
        <v>200</v>
      </c>
      <c r="B1" s="11" t="s">
        <v>282</v>
      </c>
      <c r="C1" s="11" t="s">
        <v>283</v>
      </c>
      <c r="D1" s="11" t="s">
        <v>284</v>
      </c>
      <c r="E1" s="11" t="s">
        <v>285</v>
      </c>
      <c r="F1" s="11" t="s">
        <v>109</v>
      </c>
      <c r="G1" s="11" t="s">
        <v>286</v>
      </c>
      <c r="H1" s="11" t="s">
        <v>287</v>
      </c>
      <c r="I1" s="11" t="s">
        <v>288</v>
      </c>
      <c r="J1" s="11" t="s">
        <v>289</v>
      </c>
      <c r="K1" s="11" t="s">
        <v>290</v>
      </c>
      <c r="L1" s="11" t="s">
        <v>291</v>
      </c>
      <c r="M1" s="11" t="s">
        <v>292</v>
      </c>
      <c r="N1" s="11" t="s">
        <v>293</v>
      </c>
      <c r="O1" s="11" t="s">
        <v>294</v>
      </c>
    </row>
    <row r="2" customFormat="false" ht="23.85" hidden="false" customHeight="false" outlineLevel="0" collapsed="false">
      <c r="A2" s="12" t="s">
        <v>175</v>
      </c>
      <c r="B2" s="12" t="s">
        <v>295</v>
      </c>
      <c r="C2" s="12" t="s">
        <v>296</v>
      </c>
      <c r="D2" s="12" t="s">
        <v>297</v>
      </c>
      <c r="E2" s="12" t="s">
        <v>298</v>
      </c>
      <c r="F2" s="12" t="s">
        <v>111</v>
      </c>
      <c r="G2" s="12" t="s">
        <v>299</v>
      </c>
      <c r="H2" s="12" t="s">
        <v>300</v>
      </c>
      <c r="I2" s="12" t="s">
        <v>301</v>
      </c>
      <c r="J2" s="12" t="n">
        <v>2</v>
      </c>
      <c r="K2" s="12" t="s">
        <v>302</v>
      </c>
      <c r="L2" s="12" t="s">
        <v>97</v>
      </c>
      <c r="M2" s="12" t="s">
        <v>303</v>
      </c>
      <c r="N2" s="12"/>
      <c r="O2" s="12"/>
    </row>
    <row r="3" customFormat="false" ht="35.05" hidden="false" customHeight="false" outlineLevel="0" collapsed="false">
      <c r="A3" s="12" t="s">
        <v>178</v>
      </c>
      <c r="B3" s="12" t="s">
        <v>304</v>
      </c>
      <c r="C3" s="12" t="s">
        <v>305</v>
      </c>
      <c r="D3" s="12" t="s">
        <v>306</v>
      </c>
      <c r="E3" s="12" t="s">
        <v>307</v>
      </c>
      <c r="F3" s="12" t="s">
        <v>117</v>
      </c>
      <c r="G3" s="12" t="s">
        <v>308</v>
      </c>
      <c r="H3" s="12" t="s">
        <v>309</v>
      </c>
      <c r="I3" s="12" t="s">
        <v>310</v>
      </c>
      <c r="J3" s="12" t="n">
        <v>3</v>
      </c>
      <c r="K3" s="12" t="s">
        <v>311</v>
      </c>
      <c r="L3" s="12" t="s">
        <v>97</v>
      </c>
      <c r="M3" s="12" t="s">
        <v>312</v>
      </c>
      <c r="N3" s="12" t="s">
        <v>313</v>
      </c>
      <c r="O3" s="12" t="s">
        <v>314</v>
      </c>
    </row>
  </sheetData>
  <dataValidations count="8">
    <dataValidation allowBlank="true" error="Scegli un valore dall'elenco." errorStyle="stop" errorTitle="Valore non previsto" operator="between" showDropDown="false" showErrorMessage="true" showInputMessage="false" sqref="E2:E40" type="list">
      <formula1>Elenchi!$G$2:$G$10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F2:F40" type="list">
      <formula1>Elenchi!$E$2:$E$11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G2:G40" type="list">
      <formula1>"F,M"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H2:H40" type="list">
      <formula1>Elenchi!$F$2:$F$9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I2:I40" type="list">
      <formula1>Elenchi!$H$2:$H$6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K2:K40" type="list">
      <formula1>"in piedi,legge,telefono"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L2:L40" type="list">
      <formula1>"sì,no"</formula1>
      <formula2>0</formula2>
    </dataValidation>
    <dataValidation allowBlank="false" error="Da 1 a 6" errorStyle="stop" operator="between" showDropDown="false" showErrorMessage="true" showInputMessage="false" sqref="J2:J40" type="whole">
      <formula1>1</formula1>
      <formula2>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1" t="s">
        <v>284</v>
      </c>
      <c r="B1" s="11" t="s">
        <v>315</v>
      </c>
    </row>
    <row r="2" customFormat="false" ht="15" hidden="false" customHeight="false" outlineLevel="0" collapsed="false">
      <c r="A2" s="12" t="s">
        <v>316</v>
      </c>
      <c r="B2" s="12" t="s">
        <v>317</v>
      </c>
    </row>
    <row r="3" customFormat="false" ht="15" hidden="false" customHeight="false" outlineLevel="0" collapsed="false">
      <c r="A3" s="12" t="s">
        <v>318</v>
      </c>
      <c r="B3" s="12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7" t="s">
        <v>202</v>
      </c>
      <c r="B1" s="17" t="s">
        <v>205</v>
      </c>
      <c r="C1" s="17" t="s">
        <v>57</v>
      </c>
      <c r="D1" s="17" t="s">
        <v>83</v>
      </c>
      <c r="E1" s="17" t="s">
        <v>109</v>
      </c>
      <c r="F1" s="17" t="s">
        <v>287</v>
      </c>
      <c r="G1" s="17" t="s">
        <v>285</v>
      </c>
      <c r="H1" s="17" t="s">
        <v>288</v>
      </c>
      <c r="I1" s="17" t="s">
        <v>161</v>
      </c>
    </row>
    <row r="2" customFormat="false" ht="15" hidden="false" customHeight="false" outlineLevel="0" collapsed="false">
      <c r="A2" s="13" t="s">
        <v>32</v>
      </c>
      <c r="B2" s="13" t="s">
        <v>320</v>
      </c>
      <c r="C2" s="13" t="s">
        <v>59</v>
      </c>
      <c r="D2" s="13" t="s">
        <v>86</v>
      </c>
      <c r="E2" s="13" t="s">
        <v>111</v>
      </c>
      <c r="F2" s="13" t="s">
        <v>321</v>
      </c>
      <c r="G2" s="13" t="s">
        <v>298</v>
      </c>
      <c r="H2" s="13" t="s">
        <v>322</v>
      </c>
      <c r="I2" s="13" t="s">
        <v>220</v>
      </c>
    </row>
    <row r="3" customFormat="false" ht="15" hidden="false" customHeight="false" outlineLevel="0" collapsed="false">
      <c r="A3" s="13" t="s">
        <v>34</v>
      </c>
      <c r="B3" s="13" t="s">
        <v>323</v>
      </c>
      <c r="C3" s="13" t="s">
        <v>61</v>
      </c>
      <c r="D3" s="13" t="s">
        <v>89</v>
      </c>
      <c r="E3" s="13" t="s">
        <v>113</v>
      </c>
      <c r="F3" s="13" t="s">
        <v>309</v>
      </c>
      <c r="G3" s="13" t="s">
        <v>324</v>
      </c>
      <c r="H3" s="13" t="s">
        <v>301</v>
      </c>
      <c r="I3" s="13" t="s">
        <v>325</v>
      </c>
    </row>
    <row r="4" customFormat="false" ht="15" hidden="false" customHeight="false" outlineLevel="0" collapsed="false">
      <c r="A4" s="13" t="s">
        <v>36</v>
      </c>
      <c r="B4" s="13" t="s">
        <v>326</v>
      </c>
      <c r="C4" s="13" t="s">
        <v>63</v>
      </c>
      <c r="D4" s="13" t="s">
        <v>91</v>
      </c>
      <c r="E4" s="13" t="s">
        <v>115</v>
      </c>
      <c r="F4" s="13" t="s">
        <v>327</v>
      </c>
      <c r="G4" s="13" t="s">
        <v>328</v>
      </c>
      <c r="H4" s="13" t="s">
        <v>329</v>
      </c>
      <c r="I4" s="13" t="s">
        <v>330</v>
      </c>
    </row>
    <row r="5" customFormat="false" ht="15" hidden="false" customHeight="false" outlineLevel="0" collapsed="false">
      <c r="A5" s="13" t="s">
        <v>38</v>
      </c>
      <c r="B5" s="13" t="s">
        <v>331</v>
      </c>
      <c r="C5" s="13" t="s">
        <v>65</v>
      </c>
      <c r="D5" s="13" t="s">
        <v>93</v>
      </c>
      <c r="E5" s="13" t="s">
        <v>117</v>
      </c>
      <c r="F5" s="13" t="s">
        <v>332</v>
      </c>
      <c r="G5" s="13" t="s">
        <v>333</v>
      </c>
      <c r="H5" s="13" t="s">
        <v>310</v>
      </c>
    </row>
    <row r="6" customFormat="false" ht="15" hidden="false" customHeight="false" outlineLevel="0" collapsed="false">
      <c r="A6" s="13" t="s">
        <v>40</v>
      </c>
      <c r="B6" s="13" t="s">
        <v>334</v>
      </c>
      <c r="C6" s="13" t="s">
        <v>67</v>
      </c>
      <c r="D6" s="13" t="s">
        <v>95</v>
      </c>
      <c r="E6" s="13" t="s">
        <v>119</v>
      </c>
      <c r="F6" s="13" t="s">
        <v>335</v>
      </c>
      <c r="G6" s="13" t="s">
        <v>336</v>
      </c>
      <c r="H6" s="13" t="s">
        <v>337</v>
      </c>
    </row>
    <row r="7" customFormat="false" ht="15" hidden="false" customHeight="false" outlineLevel="0" collapsed="false">
      <c r="A7" s="13" t="s">
        <v>42</v>
      </c>
      <c r="B7" s="13" t="s">
        <v>338</v>
      </c>
      <c r="C7" s="13" t="s">
        <v>69</v>
      </c>
      <c r="D7" s="13" t="s">
        <v>98</v>
      </c>
      <c r="E7" s="13" t="s">
        <v>121</v>
      </c>
      <c r="F7" s="13" t="s">
        <v>339</v>
      </c>
      <c r="G7" s="13" t="s">
        <v>340</v>
      </c>
    </row>
    <row r="8" customFormat="false" ht="15" hidden="false" customHeight="false" outlineLevel="0" collapsed="false">
      <c r="A8" s="13" t="s">
        <v>44</v>
      </c>
      <c r="B8" s="13" t="s">
        <v>341</v>
      </c>
      <c r="C8" s="13" t="s">
        <v>71</v>
      </c>
      <c r="D8" s="13" t="s">
        <v>100</v>
      </c>
      <c r="E8" s="13" t="s">
        <v>122</v>
      </c>
      <c r="F8" s="13" t="s">
        <v>300</v>
      </c>
      <c r="G8" s="13" t="s">
        <v>307</v>
      </c>
    </row>
    <row r="9" customFormat="false" ht="15" hidden="false" customHeight="false" outlineLevel="0" collapsed="false">
      <c r="A9" s="13" t="s">
        <v>46</v>
      </c>
      <c r="B9" s="13" t="s">
        <v>342</v>
      </c>
      <c r="D9" s="13" t="s">
        <v>102</v>
      </c>
      <c r="E9" s="13" t="s">
        <v>124</v>
      </c>
      <c r="F9" s="13" t="s">
        <v>343</v>
      </c>
      <c r="G9" s="13" t="s">
        <v>310</v>
      </c>
    </row>
    <row r="10" customFormat="false" ht="15" hidden="false" customHeight="false" outlineLevel="0" collapsed="false">
      <c r="A10" s="13" t="s">
        <v>48</v>
      </c>
      <c r="B10" s="13" t="s">
        <v>344</v>
      </c>
      <c r="D10" s="13" t="s">
        <v>104</v>
      </c>
      <c r="E10" s="13" t="s">
        <v>126</v>
      </c>
      <c r="G10" s="13" t="s">
        <v>337</v>
      </c>
    </row>
    <row r="11" customFormat="false" ht="15" hidden="false" customHeight="false" outlineLevel="0" collapsed="false">
      <c r="A11" s="13" t="s">
        <v>50</v>
      </c>
      <c r="B11" s="13" t="s">
        <v>345</v>
      </c>
      <c r="D11" s="13" t="s">
        <v>106</v>
      </c>
      <c r="E11" s="13" t="s">
        <v>128</v>
      </c>
    </row>
    <row r="12" customFormat="false" ht="15" hidden="false" customHeight="false" outlineLevel="0" collapsed="false">
      <c r="A12" s="13" t="s">
        <v>52</v>
      </c>
      <c r="B12" s="13" t="s">
        <v>346</v>
      </c>
    </row>
    <row r="13" customFormat="false" ht="15" hidden="false" customHeight="false" outlineLevel="0" collapsed="false">
      <c r="A13" s="13" t="s">
        <v>54</v>
      </c>
      <c r="B13" s="13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2026-09-25T12:45:33Z</dcterms:created>
  <dc:creator>SGS Learning</dc:creator>
  <dc:description/>
  <dc:language>en-US</dc:language>
  <cp:lastModifiedBy/>
  <dcterms:modified xsi:type="dcterms:W3CDTF">2026-09-25T12:45:33Z</dcterms:modified>
  <cp:revision>0</cp:revision>
  <dc:subject/>
  <dc:title>SGS Learning · Modulo di esempio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